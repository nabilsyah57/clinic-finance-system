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1" activeTab="5" autoFilterDateGrouping="1"/>
  </bookViews>
  <sheets>
    <sheet xmlns:r="http://schemas.openxmlformats.org/officeDocument/2006/relationships" name="📋 Data Pasien" sheetId="1" state="visible" r:id="rId1"/>
    <sheet xmlns:r="http://schemas.openxmlformats.org/officeDocument/2006/relationships" name="Input Harian" sheetId="2" state="visible" r:id="rId2"/>
    <sheet xmlns:r="http://schemas.openxmlformats.org/officeDocument/2006/relationships" name="Rekap Per Dokter" sheetId="3" state="visible" r:id="rId3"/>
    <sheet xmlns:r="http://schemas.openxmlformats.org/officeDocument/2006/relationships" name="💳 Detail Per Dokter" sheetId="4" state="visible" r:id="rId4"/>
    <sheet xmlns:r="http://schemas.openxmlformats.org/officeDocument/2006/relationships" name="💰 Pembayaran Dokter" sheetId="5" state="visible" r:id="rId5"/>
    <sheet xmlns:r="http://schemas.openxmlformats.org/officeDocument/2006/relationships" name="💵 Kas &amp; Pengeluaran" sheetId="6" state="visible" r:id="rId6"/>
    <sheet xmlns:r="http://schemas.openxmlformats.org/officeDocument/2006/relationships" name="📅 Laporan Harian" sheetId="7" state="visible" r:id="rId7"/>
    <sheet xmlns:r="http://schemas.openxmlformats.org/officeDocument/2006/relationships" name="📆 Laporan Mingguan" sheetId="8" state="visible" r:id="rId8"/>
    <sheet xmlns:r="http://schemas.openxmlformats.org/officeDocument/2006/relationships" name="🗓️ Laporan Bulanan" sheetId="9" state="visible" r:id="rId9"/>
    <sheet xmlns:r="http://schemas.openxmlformats.org/officeDocument/2006/relationships" name="📊 Dashboard" sheetId="10" state="visible" r:id="rId10"/>
    <sheet xmlns:r="http://schemas.openxmlformats.org/officeDocument/2006/relationships" name="Asumsi" sheetId="11" state="visible" r:id="rId11"/>
    <sheet xmlns:r="http://schemas.openxmlformats.org/officeDocument/2006/relationships" name="⚙️ Master Data" sheetId="12" state="visible" r:id="rId12"/>
    <sheet xmlns:r="http://schemas.openxmlformats.org/officeDocument/2006/relationships" name="📌 Petunjuk" sheetId="13" state="visible" r:id="rId13"/>
  </sheets>
  <definedNames>
    <definedName name="_xlnm._FilterDatabase" localSheetId="0" hidden="1">'📋 Data Pasien'!$A$5:$I$1097</definedName>
    <definedName name="_xlnm.Print_Area" localSheetId="3">'💳 Detail Per Dokter'!$A$3:$L$13</definedName>
    <definedName name="_xlnm.Print_Area" localSheetId="5">'💵 Kas &amp; Pengeluaran'!$A$1:$F$49</definedName>
    <definedName name="_xlnm._FilterDatabase" localSheetId="6" hidden="1">'📅 Laporan Harian'!$A$4:$I$199</definedName>
    <definedName name="_xlnm._FilterDatabase" localSheetId="7" hidden="1">'📆 Laporan Mingguan'!$A$4:$I$99</definedName>
    <definedName name="_xlnm._FilterDatabase" localSheetId="8" hidden="1">'🗓️ Laporan Bulanan'!$A$4:$I$55</definedName>
  </definedNames>
  <calcPr calcId="191029" fullCalcOnLoad="1"/>
</workbook>
</file>

<file path=xl/styles.xml><?xml version="1.0" encoding="utf-8"?>
<styleSheet xmlns="http://schemas.openxmlformats.org/spreadsheetml/2006/main">
  <numFmts count="13">
    <numFmt numFmtId="164" formatCode="m/d/yyyy"/>
    <numFmt numFmtId="165" formatCode="_(&quot;Rp&quot;* #,##0_);_(&quot;Rp&quot;* \(#,##0\);_(&quot;Rp&quot;* \-_);_(@_)"/>
    <numFmt numFmtId="166" formatCode="0&quot; tx&quot;"/>
    <numFmt numFmtId="167" formatCode="0&quot; pasien&quot;"/>
    <numFmt numFmtId="168" formatCode="0.0%"/>
    <numFmt numFmtId="169" formatCode="[$-F800]dddd&quot;, &quot;mmmm\ dd&quot;, &quot;yyyy"/>
    <numFmt numFmtId="170" formatCode="&quot;Rp&quot;#,##0"/>
    <numFmt numFmtId="171" formatCode="dd\ mmm\ yyyy"/>
    <numFmt numFmtId="172" formatCode="_-&quot;Rp&quot;* #,##0_-;&quot;-Rp&quot;* #,##0_-;_-&quot;Rp&quot;* \-??_-;_-@_-"/>
    <numFmt numFmtId="173" formatCode="_-&quot;Rp&quot;* #,##0_-;&quot;-Rp&quot;* #,##0_-;_-&quot;Rp&quot;* \-_-;_-@_-"/>
    <numFmt numFmtId="174" formatCode="_-[$Rp-3809]* #,##0_-;\-[$Rp-3809]* #,##0_-;_-[$Rp-3809]* &quot;-&quot;??_-;_-@_-"/>
    <numFmt numFmtId="175" formatCode="_-&quot;Rp&quot;* #,##0.00_-;&quot;-Rp&quot;* #,##0.00_-;_-&quot;Rp&quot;* \-??_-;_-@_-"/>
    <numFmt numFmtId="176" formatCode="_(\$* #,##0.00_);_(\$* \(#,##0.00\);_(\$* \-??_);_(@_)"/>
  </numFmts>
  <fonts count="90">
    <font>
      <name val="Calibri"/>
      <charset val="1"/>
      <family val="2"/>
      <color theme="1"/>
      <sz val="11"/>
    </font>
    <font>
      <name val="Arial"/>
      <charset val="1"/>
      <family val="2"/>
      <b val="1"/>
      <color rgb="FFFFFFFF"/>
      <sz val="17"/>
    </font>
    <font>
      <name val="Arial"/>
      <charset val="1"/>
      <family val="2"/>
      <i val="1"/>
      <color rgb="FF1A7B6E"/>
      <sz val="10"/>
    </font>
    <font>
      <name val="Arial"/>
      <charset val="1"/>
      <family val="2"/>
      <color rgb="FF4A3000"/>
      <sz val="9"/>
    </font>
    <font>
      <name val="Arial"/>
      <charset val="1"/>
      <family val="2"/>
      <i val="1"/>
      <color rgb="FF444444"/>
      <sz val="9"/>
    </font>
    <font>
      <name val="Arial"/>
      <charset val="1"/>
      <family val="2"/>
      <b val="1"/>
      <color rgb="FFFFFFFF"/>
      <sz val="11"/>
    </font>
    <font>
      <name val="Arial"/>
      <charset val="1"/>
      <family val="2"/>
      <b val="1"/>
      <color rgb="FFFFFFFF"/>
      <sz val="10"/>
    </font>
    <font>
      <name val="Arial"/>
      <charset val="1"/>
      <family val="2"/>
      <b val="1"/>
      <color rgb="FF1A5276"/>
      <sz val="10"/>
    </font>
    <font>
      <name val="Arial"/>
      <charset val="1"/>
      <family val="2"/>
      <color rgb="FF999999"/>
      <sz val="9"/>
    </font>
    <font>
      <name val="Arial"/>
      <charset val="1"/>
      <family val="2"/>
      <i val="1"/>
      <color rgb="FF555555"/>
      <sz val="10"/>
    </font>
    <font>
      <name val="Arial"/>
      <charset val="1"/>
      <family val="2"/>
      <sz val="10"/>
    </font>
    <font>
      <name val="Arial"/>
      <charset val="1"/>
      <family val="2"/>
      <i val="1"/>
      <color rgb="FFAAAAAA"/>
      <sz val="9"/>
    </font>
    <font>
      <name val="Arial"/>
      <charset val="1"/>
      <family val="2"/>
      <b val="1"/>
      <color rgb="FF1A7B6E"/>
      <sz val="10"/>
    </font>
    <font>
      <name val="Arial"/>
      <charset val="1"/>
      <family val="2"/>
      <i val="1"/>
      <color rgb="FF1A5276"/>
      <sz val="10"/>
    </font>
    <font>
      <name val="Arial"/>
      <charset val="1"/>
      <family val="2"/>
      <b val="1"/>
      <color rgb="FFFFFFFF"/>
      <sz val="9"/>
    </font>
    <font>
      <name val="Arial"/>
      <charset val="1"/>
      <family val="2"/>
      <b val="1"/>
      <color rgb="FF000000"/>
      <sz val="10"/>
    </font>
    <font>
      <name val="Arial"/>
      <charset val="1"/>
      <family val="2"/>
      <b val="1"/>
      <color rgb="FFFFE080"/>
      <sz val="12"/>
    </font>
    <font>
      <name val="Cambria"/>
      <charset val="1"/>
      <family val="1"/>
      <sz val="11"/>
    </font>
    <font>
      <name val="Arial"/>
      <charset val="1"/>
      <family val="2"/>
      <b val="1"/>
      <color rgb="FFFFFFFF"/>
      <sz val="13"/>
    </font>
    <font>
      <name val="Arial"/>
      <charset val="1"/>
      <family val="2"/>
      <b val="1"/>
      <color rgb="FF000000"/>
      <sz val="11"/>
    </font>
    <font>
      <name val="Arial"/>
      <charset val="1"/>
      <family val="2"/>
      <b val="1"/>
      <color rgb="FF7B4F00"/>
      <sz val="10"/>
    </font>
    <font>
      <name val="Arial"/>
      <charset val="1"/>
      <family val="2"/>
      <b val="1"/>
      <color rgb="FF0D2D52"/>
      <sz val="10"/>
    </font>
    <font>
      <name val="Arial"/>
      <charset val="1"/>
      <family val="2"/>
      <i val="1"/>
      <color rgb="FFFFFFFF"/>
      <sz val="9"/>
    </font>
    <font>
      <name val="Arial"/>
      <charset val="1"/>
      <family val="2"/>
      <b val="1"/>
      <color rgb="FFFFFFFF"/>
      <sz val="12"/>
    </font>
    <font>
      <name val="Arial"/>
      <charset val="1"/>
      <family val="2"/>
      <i val="1"/>
      <color rgb="FF555555"/>
      <sz val="9"/>
    </font>
    <font>
      <name val="Arial"/>
      <charset val="1"/>
      <family val="2"/>
      <color rgb="FF888888"/>
      <sz val="9"/>
    </font>
    <font>
      <name val="Arial"/>
      <charset val="1"/>
      <family val="2"/>
      <b val="1"/>
      <color rgb="FF1A1A1A"/>
      <sz val="10"/>
    </font>
    <font>
      <name val="Arial"/>
      <charset val="1"/>
      <family val="2"/>
      <color rgb="FF000080"/>
      <sz val="9"/>
    </font>
    <font>
      <name val="Arial"/>
      <charset val="1"/>
      <family val="2"/>
      <b val="1"/>
      <color rgb="FF000080"/>
      <sz val="9"/>
    </font>
    <font>
      <name val="Arial"/>
      <charset val="1"/>
      <family val="2"/>
      <b val="1"/>
      <color rgb="FF1A5C1A"/>
      <sz val="10"/>
    </font>
    <font>
      <name val="Arial"/>
      <charset val="1"/>
      <family val="2"/>
      <color rgb="FF1A1A1A"/>
      <sz val="9"/>
    </font>
    <font>
      <name val="Arial"/>
      <charset val="1"/>
      <family val="2"/>
      <b val="1"/>
      <color rgb="FF8B0000"/>
      <sz val="10"/>
    </font>
    <font>
      <name val="Arial"/>
      <charset val="1"/>
      <family val="2"/>
      <b val="1"/>
      <color theme="1"/>
      <sz val="9"/>
    </font>
    <font>
      <name val="Arial"/>
      <charset val="1"/>
      <family val="2"/>
      <color rgb="FF1A1A1A"/>
      <sz val="10"/>
    </font>
    <font>
      <name val="Arial"/>
      <charset val="1"/>
      <family val="2"/>
      <b val="1"/>
      <color theme="1"/>
      <sz val="10"/>
    </font>
    <font>
      <name val="Arial"/>
      <charset val="1"/>
      <family val="2"/>
      <b val="1"/>
      <color rgb="FFB8860B"/>
      <sz val="10"/>
    </font>
    <font>
      <name val="Arial"/>
      <charset val="1"/>
      <family val="2"/>
      <sz val="11"/>
    </font>
    <font>
      <name val="Cambria"/>
      <charset val="1"/>
      <family val="1"/>
      <b val="1"/>
      <color rgb="FFFFFFFF"/>
      <sz val="14"/>
    </font>
    <font>
      <name val="Cambria"/>
      <charset val="1"/>
      <family val="1"/>
      <i val="1"/>
      <color rgb="FF1F3864"/>
      <sz val="9"/>
    </font>
    <font>
      <name val="Cambria"/>
      <charset val="1"/>
      <family val="1"/>
      <b val="1"/>
      <color rgb="FFFFFFFF"/>
      <sz val="12"/>
    </font>
    <font>
      <name val="Cambria"/>
      <charset val="1"/>
      <family val="1"/>
      <b val="1"/>
      <color rgb="FFFFFFFF"/>
      <sz val="9"/>
    </font>
    <font>
      <name val="Cambria"/>
      <charset val="1"/>
      <family val="1"/>
      <b val="1"/>
      <sz val="10"/>
    </font>
    <font>
      <name val="Cambria"/>
      <charset val="1"/>
      <family val="1"/>
      <b val="1"/>
      <sz val="11"/>
    </font>
    <font>
      <name val="Cambria"/>
      <charset val="1"/>
      <family val="1"/>
      <b val="1"/>
      <color rgb="FF1F3864"/>
      <sz val="11"/>
    </font>
    <font>
      <name val="Cambria"/>
      <charset val="1"/>
      <family val="1"/>
      <b val="1"/>
      <color rgb="FFFFFFFF"/>
      <sz val="16"/>
    </font>
    <font>
      <name val="Cambria"/>
      <charset val="1"/>
      <family val="1"/>
      <i val="1"/>
      <color rgb="FF7F6000"/>
      <sz val="10"/>
    </font>
    <font>
      <name val="Cambria"/>
      <charset val="1"/>
      <family val="1"/>
      <b val="1"/>
      <color rgb="FFFFFFFF"/>
      <sz val="11"/>
    </font>
    <font>
      <name val="Cambria"/>
      <charset val="1"/>
      <family val="1"/>
      <b val="1"/>
      <color rgb="FF276221"/>
      <sz val="11"/>
    </font>
    <font>
      <name val="Cambria"/>
      <charset val="1"/>
      <family val="1"/>
      <b val="1"/>
      <color rgb="FFC00000"/>
      <sz val="11"/>
    </font>
    <font>
      <name val="Cambria"/>
      <charset val="1"/>
      <family val="1"/>
      <b val="1"/>
      <color rgb="FF1F3864"/>
      <sz val="10"/>
    </font>
    <font>
      <name val="Cambria"/>
      <charset val="1"/>
      <family val="1"/>
      <i val="1"/>
      <color rgb="FF404040"/>
      <sz val="9"/>
    </font>
    <font>
      <name val="Cambria"/>
      <charset val="1"/>
      <family val="1"/>
      <b val="1"/>
      <color rgb="FF1F4E79"/>
      <sz val="11"/>
    </font>
    <font>
      <name val="Cambria"/>
      <charset val="1"/>
      <family val="1"/>
      <b val="1"/>
      <color rgb="FF9C5700"/>
      <sz val="9"/>
    </font>
    <font>
      <name val="Cambria"/>
      <charset val="1"/>
      <family val="1"/>
      <b val="1"/>
      <color rgb="FF1F4E79"/>
      <sz val="9"/>
    </font>
    <font>
      <name val="Cambria"/>
      <charset val="1"/>
      <family val="1"/>
      <b val="1"/>
      <color rgb="FF276221"/>
      <sz val="9"/>
    </font>
    <font>
      <name val="Arial"/>
      <family val="2"/>
      <b val="1"/>
      <color rgb="FFFFFFFF"/>
      <sz val="14"/>
    </font>
    <font>
      <name val="Arial"/>
      <family val="2"/>
      <color rgb="FFFFFFFF"/>
      <sz val="10"/>
    </font>
    <font>
      <name val="Arial"/>
      <family val="2"/>
      <b val="1"/>
      <color rgb="FFFFFFFF"/>
      <sz val="11"/>
    </font>
    <font>
      <name val="Arial"/>
      <family val="2"/>
      <b val="1"/>
      <color rgb="FF000000"/>
      <sz val="11"/>
    </font>
    <font>
      <name val="Arial"/>
      <family val="2"/>
      <color rgb="FF000000"/>
      <sz val="11"/>
    </font>
    <font>
      <name val="Arial"/>
      <family val="2"/>
      <sz val="10"/>
    </font>
    <font>
      <name val="Cambria"/>
      <family val="1"/>
      <b val="1"/>
      <sz val="11"/>
    </font>
    <font>
      <name val="Arial"/>
      <family val="2"/>
      <color rgb="FFFFFFFF"/>
      <sz val="11"/>
    </font>
    <font>
      <name val="Arial"/>
      <family val="2"/>
      <color rgb="FF000000"/>
      <sz val="9"/>
    </font>
    <font>
      <name val="Cambria"/>
      <family val="1"/>
      <b val="1"/>
      <color rgb="FF1565C0"/>
      <sz val="11"/>
    </font>
    <font>
      <name val="Cambria"/>
      <family val="1"/>
      <b val="1"/>
      <color rgb="FF827717"/>
      <sz val="11"/>
    </font>
    <font>
      <name val="Cambria"/>
      <family val="1"/>
      <b val="1"/>
      <color rgb="FF1B5E20"/>
      <sz val="11"/>
    </font>
    <font>
      <name val="Cambria"/>
      <family val="1"/>
      <b val="1"/>
      <color rgb="FF0D47A1"/>
      <sz val="11"/>
    </font>
    <font>
      <name val="Arial"/>
      <charset val="1"/>
      <family val="2"/>
      <b val="1"/>
      <color rgb="FFFFFFFF"/>
      <sz val="15"/>
    </font>
    <font>
      <name val="Arial"/>
      <charset val="1"/>
      <family val="2"/>
      <i val="1"/>
      <color rgb="FF1F4E79"/>
      <sz val="10"/>
    </font>
    <font>
      <name val="Arial"/>
      <charset val="1"/>
      <family val="2"/>
      <b val="1"/>
      <color rgb="FF000000"/>
      <sz val="9"/>
    </font>
    <font>
      <name val="Arial"/>
      <charset val="1"/>
      <family val="2"/>
      <b val="1"/>
      <color rgb="FF222222"/>
      <sz val="10"/>
    </font>
    <font>
      <name val="Arial"/>
      <charset val="1"/>
      <family val="2"/>
      <color rgb="FF222222"/>
      <sz val="10"/>
    </font>
    <font>
      <name val="Arial"/>
      <charset val="1"/>
      <family val="2"/>
      <i val="1"/>
      <color rgb="FF2E6B36"/>
      <sz val="10"/>
    </font>
    <font>
      <name val="Arial"/>
      <charset val="1"/>
      <family val="2"/>
      <i val="1"/>
      <color rgb="FF833C00"/>
      <sz val="10"/>
    </font>
    <font>
      <name val="Arial"/>
      <charset val="1"/>
      <family val="2"/>
      <b val="1"/>
      <color rgb="FFFFFFFF"/>
      <sz val="16"/>
    </font>
    <font>
      <name val="Arial"/>
      <charset val="1"/>
      <family val="2"/>
      <i val="1"/>
      <color rgb="FFC00000"/>
      <sz val="10"/>
    </font>
    <font>
      <name val="Arial"/>
      <charset val="1"/>
      <family val="2"/>
      <b val="1"/>
      <color rgb="FF1A7B6E"/>
      <sz val="14"/>
    </font>
    <font>
      <name val="Arial"/>
      <charset val="1"/>
      <family val="2"/>
      <b val="1"/>
      <color rgb="FF1F4E79"/>
      <sz val="14"/>
    </font>
    <font>
      <name val="Arial"/>
      <charset val="1"/>
      <family val="2"/>
      <b val="1"/>
      <color rgb="FFE8A000"/>
      <sz val="14"/>
    </font>
    <font>
      <name val="Arial"/>
      <charset val="1"/>
      <family val="2"/>
      <b val="1"/>
      <color rgb="FF2779BD"/>
      <sz val="14"/>
    </font>
    <font>
      <name val="Arial"/>
      <charset val="1"/>
      <family val="2"/>
      <b val="1"/>
      <color rgb="FFCC0000"/>
      <sz val="14"/>
    </font>
    <font>
      <name val="Arial"/>
      <charset val="1"/>
      <family val="2"/>
      <i val="1"/>
      <color rgb="FF888888"/>
      <sz val="9"/>
    </font>
    <font>
      <name val="Arial"/>
      <charset val="1"/>
      <family val="2"/>
      <color rgb="FF7B4F00"/>
      <sz val="10"/>
    </font>
    <font>
      <name val="Arial"/>
      <charset val="1"/>
      <family val="2"/>
      <color rgb="FF00008B"/>
      <sz val="10"/>
    </font>
    <font>
      <name val="Arial"/>
      <charset val="1"/>
      <family val="2"/>
      <b val="1"/>
      <color rgb="FF1A7B6E"/>
      <sz val="11"/>
    </font>
    <font>
      <name val="Arial"/>
      <charset val="1"/>
      <family val="2"/>
      <b val="1"/>
      <color rgb="FFFFFFFF"/>
      <sz val="14"/>
    </font>
    <font>
      <name val="Arial"/>
      <charset val="1"/>
      <family val="2"/>
      <b val="1"/>
      <color rgb="FF404040"/>
      <sz val="10"/>
    </font>
    <font>
      <name val="Arial"/>
      <charset val="1"/>
      <family val="2"/>
      <color rgb="FF404040"/>
      <sz val="10"/>
    </font>
    <font>
      <name val="Arial"/>
      <family val="2"/>
      <color theme="1"/>
      <sz val="11"/>
    </font>
  </fonts>
  <fills count="58">
    <fill>
      <patternFill/>
    </fill>
    <fill>
      <patternFill patternType="gray125"/>
    </fill>
    <fill>
      <patternFill patternType="solid">
        <fgColor rgb="FF1A7A6D"/>
        <bgColor rgb="FF1A7B6E"/>
      </patternFill>
    </fill>
    <fill>
      <patternFill patternType="solid">
        <fgColor rgb="FFD6F0EC"/>
        <bgColor rgb="FFDEEBF5"/>
      </patternFill>
    </fill>
    <fill>
      <patternFill patternType="solid">
        <fgColor rgb="FFFFF4D4"/>
        <bgColor rgb="FFFFF3CD"/>
      </patternFill>
    </fill>
    <fill>
      <patternFill patternType="darkGray">
        <fgColor rgb="FFFFFFFF"/>
        <bgColor rgb="FFF5F5F5"/>
      </patternFill>
    </fill>
    <fill>
      <patternFill patternType="solid">
        <fgColor rgb="FF1D611E"/>
        <bgColor rgb="FF2D6A36"/>
      </patternFill>
    </fill>
    <fill>
      <patternFill patternType="mediumGray">
        <fgColor rgb="FF194F7B"/>
        <bgColor rgb="FF1F4E79"/>
      </patternFill>
    </fill>
    <fill>
      <patternFill patternType="solid">
        <fgColor rgb="FF2F6E43"/>
        <bgColor rgb="FF2D6A36"/>
      </patternFill>
    </fill>
    <fill>
      <patternFill patternType="solid">
        <fgColor rgb="FFD6E8FB"/>
        <bgColor rgb="FFD6E4F6"/>
      </patternFill>
    </fill>
    <fill>
      <patternFill patternType="solid">
        <fgColor rgb="FFF5F5F5"/>
        <bgColor rgb="FFF2F2F2"/>
      </patternFill>
    </fill>
    <fill>
      <patternFill patternType="solid">
        <fgColor rgb="FFEBF5FC"/>
        <bgColor rgb="FFEBF4FC"/>
      </patternFill>
    </fill>
    <fill>
      <patternFill patternType="solid">
        <fgColor rgb="FFFFFFFF"/>
        <bgColor rgb="FFFFFDE5"/>
      </patternFill>
    </fill>
    <fill>
      <patternFill patternType="solid">
        <fgColor rgb="FF293F58"/>
        <bgColor rgb="FF213B5D"/>
      </patternFill>
    </fill>
    <fill>
      <patternFill patternType="solid">
        <fgColor rgb="FFE79F00"/>
        <bgColor rgb="FFE9A000"/>
      </patternFill>
    </fill>
    <fill>
      <patternFill patternType="solid">
        <fgColor rgb="FF2878BF"/>
        <bgColor rgb="FF267AC3"/>
      </patternFill>
    </fill>
    <fill>
      <patternFill patternType="solid">
        <fgColor rgb="FF2E9B8C"/>
        <bgColor rgb="FF1A7B6E"/>
      </patternFill>
    </fill>
    <fill>
      <patternFill patternType="solid">
        <fgColor rgb="FFDFDEE2"/>
        <bgColor rgb="FFE7DDDE"/>
      </patternFill>
    </fill>
    <fill>
      <patternFill patternType="solid">
        <fgColor rgb="FFFFF3CD"/>
        <bgColor rgb="FFFFF3CA"/>
      </patternFill>
    </fill>
    <fill>
      <patternFill patternType="solid">
        <fgColor rgb="FFCB0101"/>
        <bgColor rgb="FFBF0000"/>
      </patternFill>
    </fill>
    <fill>
      <patternFill patternType="solid">
        <fgColor rgb="FF585858"/>
        <bgColor rgb="FF2F6E43"/>
      </patternFill>
    </fill>
    <fill>
      <patternFill patternType="solid">
        <fgColor rgb="FFFFFDE5"/>
        <bgColor rgb="FFFFFFFF"/>
      </patternFill>
    </fill>
    <fill>
      <patternFill patternType="solid">
        <fgColor rgb="FFFFF3CA"/>
        <bgColor rgb="FFFFF3CD"/>
      </patternFill>
    </fill>
    <fill>
      <patternFill patternType="solid">
        <fgColor rgb="FFBDD7EE"/>
        <bgColor rgb="FFCCCCCC"/>
      </patternFill>
    </fill>
    <fill>
      <patternFill patternType="solid">
        <fgColor rgb="FFD4F0D5"/>
        <bgColor rgb="FFD6F0EC"/>
      </patternFill>
    </fill>
    <fill>
      <patternFill patternType="solid">
        <fgColor rgb="FFFCE4D6"/>
        <bgColor rgb="FFFCE5CF"/>
      </patternFill>
    </fill>
    <fill>
      <patternFill patternType="solid">
        <fgColor rgb="FFF2F2F2"/>
        <bgColor rgb="FFF5F5F5"/>
      </patternFill>
    </fill>
    <fill>
      <patternFill patternType="solid">
        <fgColor rgb="FF1D7A4B"/>
        <bgColor rgb="FF2F773F"/>
      </patternFill>
    </fill>
    <fill>
      <patternFill patternType="mediumGray">
        <fgColor rgb="FF2F6E43"/>
        <bgColor rgb="FF2F773F"/>
      </patternFill>
    </fill>
    <fill>
      <patternFill patternType="solid">
        <fgColor rgb="FFD6E4F6"/>
        <bgColor rgb="FFD6E8FB"/>
      </patternFill>
    </fill>
    <fill>
      <patternFill patternType="mediumGray">
        <fgColor theme="5" tint="0.3994872890408033"/>
        <bgColor rgb="FFFFAAAA"/>
      </patternFill>
    </fill>
    <fill>
      <patternFill patternType="solid">
        <fgColor rgb="FFFCE5CF"/>
        <bgColor rgb="FFFCE4D6"/>
      </patternFill>
    </fill>
    <fill>
      <patternFill patternType="mediumGray">
        <fgColor rgb="FF15355B"/>
        <bgColor rgb="FF213B5D"/>
      </patternFill>
    </fill>
    <fill>
      <patternFill patternType="darkGray">
        <fgColor rgb="FFD6E4F6"/>
        <bgColor rgb="FFD6E8FB"/>
      </patternFill>
    </fill>
    <fill>
      <patternFill patternType="solid">
        <fgColor rgb="FF2E75B6"/>
        <bgColor rgb="FF2878BF"/>
      </patternFill>
    </fill>
    <fill>
      <patternFill patternType="solid">
        <fgColor rgb="FFD68C00"/>
        <bgColor rgb="FFE79F00"/>
      </patternFill>
    </fill>
    <fill>
      <patternFill patternType="darkGray">
        <fgColor rgb="FF1D611E"/>
        <bgColor rgb="FF2D6A36"/>
      </patternFill>
    </fill>
    <fill>
      <patternFill patternType="solid">
        <fgColor rgb="FFE2EFDA"/>
        <bgColor rgb="FFE8F5E9"/>
      </patternFill>
    </fill>
    <fill>
      <patternFill patternType="solid">
        <fgColor rgb="FFEBF4FC"/>
        <bgColor rgb="FFEBF5FC"/>
      </patternFill>
    </fill>
    <fill>
      <patternFill patternType="solid">
        <fgColor rgb="FFE9A000"/>
        <bgColor rgb="FFE79F00"/>
      </patternFill>
    </fill>
    <fill>
      <patternFill patternType="solid">
        <fgColor rgb="FFB9C4B4"/>
        <bgColor rgb="FFBAB8B8"/>
      </patternFill>
    </fill>
    <fill>
      <patternFill patternType="darkGray">
        <fgColor rgb="FF213B5D"/>
        <bgColor rgb="FF293F58"/>
      </patternFill>
    </fill>
    <fill>
      <patternFill patternType="solid">
        <fgColor rgb="FFDEEBF5"/>
        <bgColor rgb="FFD6E8FB"/>
      </patternFill>
    </fill>
    <fill>
      <patternFill patternType="solid">
        <fgColor rgb="FF1D70BC"/>
        <bgColor rgb="FF186CBC"/>
      </patternFill>
    </fill>
    <fill>
      <patternFill patternType="solid">
        <fgColor rgb="FF267AC3"/>
        <bgColor rgb="FF2878BF"/>
      </patternFill>
    </fill>
    <fill>
      <patternFill patternType="solid">
        <fgColor rgb="FFE8F5E9"/>
        <bgColor rgb="FFEBF5FC"/>
      </patternFill>
    </fill>
    <fill>
      <patternFill patternType="darkGray">
        <fgColor rgb="FF186CBC"/>
        <bgColor rgb="FF1D70BC"/>
      </patternFill>
    </fill>
    <fill>
      <patternFill patternType="solid">
        <fgColor rgb="FFFFF4D4"/>
        <bgColor rgb="FFFFF3CD"/>
      </patternFill>
    </fill>
    <fill>
      <patternFill patternType="solid">
        <fgColor rgb="FFD6E8FB"/>
        <bgColor rgb="FFD6E4F6"/>
      </patternFill>
    </fill>
    <fill>
      <patternFill patternType="solid">
        <fgColor rgb="FFFFF9C4"/>
        <bgColor rgb="FFFFF3CA"/>
      </patternFill>
    </fill>
    <fill>
      <patternFill patternType="solid">
        <fgColor rgb="FFE3F2FD"/>
        <bgColor rgb="FFEBF4FC"/>
      </patternFill>
    </fill>
    <fill>
      <patternFill patternType="solid">
        <fgColor rgb="FF2D6A36"/>
        <bgColor rgb="FF2F6E43"/>
      </patternFill>
    </fill>
    <fill>
      <patternFill patternType="solid">
        <fgColor rgb="FF824A00"/>
        <bgColor rgb="FF585858"/>
      </patternFill>
    </fill>
    <fill>
      <patternFill patternType="darkGray">
        <fgColor rgb="FFBF0000"/>
        <bgColor rgb="FFCB0101"/>
      </patternFill>
    </fill>
    <fill>
      <patternFill patternType="solid">
        <fgColor rgb="FFFFE0E0"/>
        <bgColor rgb="FFFCE4D6"/>
      </patternFill>
    </fill>
    <fill>
      <patternFill patternType="darkGray">
        <fgColor rgb="FF3E3027"/>
        <bgColor rgb="FF293F58"/>
      </patternFill>
    </fill>
    <fill>
      <patternFill patternType="solid">
        <fgColor rgb="FFE7DDDE"/>
        <bgColor rgb="FFDFDEE2"/>
      </patternFill>
    </fill>
    <fill>
      <patternFill patternType="solid">
        <fgColor theme="5" tint="0.3999755851924192"/>
        <bgColor indexed="64"/>
      </patternFill>
    </fill>
  </fills>
  <borders count="67">
    <border>
      <left/>
      <right/>
      <top/>
      <bottom/>
      <diagonal/>
    </border>
    <border>
      <left style="thin">
        <color rgb="FFCCCCCC"/>
      </left>
      <right style="thin">
        <color rgb="FFCCCCCC"/>
      </right>
      <top style="thin">
        <color rgb="FFCCCCCC"/>
      </top>
      <bottom style="thin">
        <color rgb="FFCCCCCC"/>
      </bottom>
      <diagonal/>
    </border>
    <border>
      <left style="thin">
        <color rgb="FFBAB8B8"/>
      </left>
      <right style="thin">
        <color rgb="FFBAB8B8"/>
      </right>
      <top style="thin">
        <color rgb="FFBAB8B8"/>
      </top>
      <bottom style="thin">
        <color rgb="FFBAB8B8"/>
      </bottom>
      <diagonal/>
    </border>
    <border>
      <left style="medium">
        <color rgb="FF2F773F"/>
      </left>
      <right/>
      <top style="medium">
        <color rgb="FF2F773F"/>
      </top>
      <bottom style="medium">
        <color rgb="FF2F773F"/>
      </bottom>
      <diagonal/>
    </border>
    <border>
      <left/>
      <right/>
      <top style="medium">
        <color rgb="FF2F773F"/>
      </top>
      <bottom style="medium">
        <color rgb="FF2F773F"/>
      </bottom>
      <diagonal/>
    </border>
    <border>
      <left style="thin">
        <color rgb="FFE7DDDE"/>
      </left>
      <right style="thin">
        <color rgb="FFE7DDDE"/>
      </right>
      <top style="thin">
        <color rgb="FFE7DDDE"/>
      </top>
      <bottom style="thin">
        <color rgb="FFE7DDDE"/>
      </bottom>
      <diagonal/>
    </border>
    <border>
      <left style="dashed">
        <color rgb="FFCCCCCC"/>
      </left>
      <right style="dashed">
        <color rgb="FFCCCCCC"/>
      </right>
      <top style="dashed">
        <color rgb="FFCCCCCC"/>
      </top>
      <bottom style="dashed">
        <color rgb="FFCCCCCC"/>
      </bottom>
      <diagonal/>
    </border>
    <border>
      <left style="medium">
        <color rgb="FF293F58"/>
      </left>
      <right/>
      <top style="medium">
        <color rgb="FF293F58"/>
      </top>
      <bottom style="medium">
        <color rgb="FF293F58"/>
      </bottom>
      <diagonal/>
    </border>
    <border>
      <left style="medium">
        <color rgb="FF293F58"/>
      </left>
      <right style="medium">
        <color rgb="FF293F58"/>
      </right>
      <top style="medium">
        <color rgb="FF293F58"/>
      </top>
      <bottom style="medium">
        <color rgb="FF293F58"/>
      </bottom>
      <diagonal/>
    </border>
    <border>
      <left style="medium">
        <color rgb="FFD68C00"/>
      </left>
      <right style="medium">
        <color rgb="FFD68C00"/>
      </right>
      <top style="medium">
        <color rgb="FFD68C00"/>
      </top>
      <bottom style="medium">
        <color rgb="FFD68C00"/>
      </bottom>
      <diagonal/>
    </border>
    <border>
      <left style="medium">
        <color rgb="FF267AC3"/>
      </left>
      <right style="medium">
        <color rgb="FF267AC3"/>
      </right>
      <top style="medium">
        <color rgb="FF267AC3"/>
      </top>
      <bottom style="medium">
        <color rgb="FF267AC3"/>
      </bottom>
      <diagonal/>
    </border>
    <border>
      <left style="dashed">
        <color rgb="FFCCCCCC"/>
      </left>
      <right style="dashed">
        <color rgb="FFCCCCCC"/>
      </right>
      <top/>
      <bottom/>
      <diagonal/>
    </border>
    <border>
      <left style="medium">
        <color rgb="FF1A7A6D"/>
      </left>
      <right/>
      <top style="medium">
        <color rgb="FF1A7A6D"/>
      </top>
      <bottom style="medium">
        <color rgb="FF1A7A6D"/>
      </bottom>
      <diagonal/>
    </border>
    <border>
      <left/>
      <right/>
      <top style="medium">
        <color rgb="FF1A7A6D"/>
      </top>
      <bottom style="medium">
        <color rgb="FF1A7A6D"/>
      </bottom>
      <diagonal/>
    </border>
    <border>
      <left style="medium">
        <color rgb="FF2E9B8C"/>
      </left>
      <right/>
      <top style="medium">
        <color rgb="FF2E9B8C"/>
      </top>
      <bottom style="medium">
        <color rgb="FF2E9B8C"/>
      </bottom>
      <diagonal/>
    </border>
    <border>
      <left style="medium">
        <color rgb="FF2E9B8C"/>
      </left>
      <right style="medium">
        <color rgb="FF2E9B8C"/>
      </right>
      <top style="medium">
        <color rgb="FF2E9B8C"/>
      </top>
      <bottom style="medium">
        <color rgb="FF2E9B8C"/>
      </bottom>
      <diagonal/>
    </border>
    <border>
      <left style="medium">
        <color rgb="FF1A7A6D"/>
      </left>
      <right style="medium">
        <color rgb="FF1A7A6D"/>
      </right>
      <top style="medium">
        <color rgb="FF1A7A6D"/>
      </top>
      <bottom style="medium">
        <color rgb="FF1A7A6D"/>
      </bottom>
      <diagonal/>
    </border>
    <border>
      <left style="medium">
        <color rgb="FFD68C00"/>
      </left>
      <right/>
      <top style="medium">
        <color rgb="FFD68C00"/>
      </top>
      <bottom style="medium">
        <color rgb="FFD68C00"/>
      </bottom>
      <diagonal/>
    </border>
    <border>
      <left style="medium">
        <color rgb="FF267AC3"/>
      </left>
      <right/>
      <top style="medium">
        <color rgb="FF267AC3"/>
      </top>
      <bottom style="medium">
        <color rgb="FF267AC3"/>
      </bottom>
      <diagonal/>
    </border>
    <border>
      <left/>
      <right/>
      <top/>
      <bottom style="thin">
        <color rgb="FFCCCCCC"/>
      </bottom>
      <diagonal/>
    </border>
    <border>
      <left style="medium">
        <color rgb="FFCB0101"/>
      </left>
      <right/>
      <top style="medium">
        <color rgb="FFCB0101"/>
      </top>
      <bottom style="medium">
        <color rgb="FFCB0101"/>
      </bottom>
      <diagonal/>
    </border>
    <border>
      <left style="medium">
        <color rgb="FFCB0101"/>
      </left>
      <right style="medium">
        <color rgb="FFCB0101"/>
      </right>
      <top style="medium">
        <color rgb="FFCB0101"/>
      </top>
      <bottom style="medium">
        <color rgb="FFCB0101"/>
      </bottom>
      <diagonal/>
    </border>
    <border>
      <left/>
      <right/>
      <top style="medium">
        <color rgb="FFCB0101"/>
      </top>
      <bottom style="medium">
        <color rgb="FFCB0101"/>
      </bottom>
      <diagonal/>
    </border>
    <border>
      <left style="medium">
        <color rgb="FF585858"/>
      </left>
      <right/>
      <top style="medium">
        <color rgb="FF585858"/>
      </top>
      <bottom style="medium">
        <color rgb="FF585858"/>
      </bottom>
      <diagonal/>
    </border>
    <border>
      <left style="medium">
        <color rgb="FF585858"/>
      </left>
      <right style="medium">
        <color rgb="FF585858"/>
      </right>
      <top style="medium">
        <color rgb="FF585858"/>
      </top>
      <bottom style="medium">
        <color rgb="FF585858"/>
      </bottom>
      <diagonal/>
    </border>
    <border>
      <left/>
      <right/>
      <top style="medium">
        <color rgb="FF585858"/>
      </top>
      <bottom style="medium">
        <color rgb="FF585858"/>
      </bottom>
      <diagonal/>
    </border>
    <border>
      <left style="thin">
        <color auto="1"/>
      </left>
      <right style="thin">
        <color auto="1"/>
      </right>
      <top style="thin">
        <color auto="1"/>
      </top>
      <bottom style="thin">
        <color auto="1"/>
      </bottom>
      <diagonal/>
    </border>
    <border>
      <left style="thin">
        <color rgb="FFB9C4B4"/>
      </left>
      <right style="thin">
        <color rgb="FFB9C4B4"/>
      </right>
      <top style="thin">
        <color rgb="FFB9C4B4"/>
      </top>
      <bottom style="thin">
        <color rgb="FFB9C4B4"/>
      </bottom>
      <diagonal/>
    </border>
    <border>
      <left/>
      <right style="thin">
        <color rgb="FFB9C4B4"/>
      </right>
      <top style="thin">
        <color rgb="FFB9C4B4"/>
      </top>
      <bottom style="thin">
        <color rgb="FFB9C4B4"/>
      </bottom>
      <diagonal/>
    </border>
    <border>
      <left style="thin">
        <color rgb="FFB9C4B4"/>
      </left>
      <right/>
      <top style="thin">
        <color rgb="FFB9C4B4"/>
      </top>
      <bottom style="thin">
        <color rgb="FFB9C4B4"/>
      </bottom>
      <diagonal/>
    </border>
    <border>
      <left/>
      <right/>
      <top style="thin">
        <color rgb="FFB9C4B4"/>
      </top>
      <bottom style="thin">
        <color rgb="FFB9C4B4"/>
      </bottom>
      <diagonal/>
    </border>
    <border>
      <left style="medium">
        <color rgb="FF194F7B"/>
      </left>
      <right style="medium">
        <color rgb="FF194F7B"/>
      </right>
      <top style="medium">
        <color rgb="FF194F7B"/>
      </top>
      <bottom style="medium">
        <color rgb="FF194F7B"/>
      </bottom>
      <diagonal/>
    </border>
    <border>
      <left style="thin">
        <color rgb="FFD68C00"/>
      </left>
      <right style="thin">
        <color rgb="FFD68C00"/>
      </right>
      <top style="thin">
        <color rgb="FFD68C00"/>
      </top>
      <bottom style="thin">
        <color rgb="FFD68C00"/>
      </bottom>
      <diagonal/>
    </border>
    <border>
      <left style="thin">
        <color rgb="FF267AC3"/>
      </left>
      <right style="thin">
        <color rgb="FF267AC3"/>
      </right>
      <top style="thin">
        <color rgb="FF267AC3"/>
      </top>
      <bottom style="thin">
        <color rgb="FF267AC3"/>
      </bottom>
      <diagonal/>
    </border>
    <border>
      <left/>
      <right/>
      <top style="thin">
        <color rgb="FFCCCCCC"/>
      </top>
      <bottom style="thin">
        <color rgb="FFCCCCCC"/>
      </bottom>
      <diagonal/>
    </border>
    <border>
      <left style="medium">
        <color rgb="FF194F7B"/>
      </left>
      <right/>
      <top style="medium">
        <color rgb="FF194F7B"/>
      </top>
      <bottom style="medium">
        <color rgb="FF194F7B"/>
      </bottom>
      <diagonal/>
    </border>
    <border>
      <left style="medium">
        <color rgb="FF2D6A36"/>
      </left>
      <right style="medium">
        <color rgb="FF2D6A36"/>
      </right>
      <top style="medium">
        <color rgb="FF2D6A36"/>
      </top>
      <bottom style="medium">
        <color rgb="FF2D6A36"/>
      </bottom>
      <diagonal/>
    </border>
    <border>
      <left style="medium">
        <color rgb="FF2D6A36"/>
      </left>
      <right/>
      <top style="medium">
        <color rgb="FF2D6A36"/>
      </top>
      <bottom style="medium">
        <color rgb="FF2D6A36"/>
      </bottom>
      <diagonal/>
    </border>
    <border>
      <left style="medium">
        <color rgb="FF824A00"/>
      </left>
      <right style="medium">
        <color rgb="FF824A00"/>
      </right>
      <top style="medium">
        <color rgb="FF824A00"/>
      </top>
      <bottom style="medium">
        <color rgb="FF824A00"/>
      </bottom>
      <diagonal/>
    </border>
    <border>
      <left style="medium">
        <color rgb="FF824A00"/>
      </left>
      <right/>
      <top style="medium">
        <color rgb="FF824A00"/>
      </top>
      <bottom style="medium">
        <color rgb="FF824A00"/>
      </bottom>
      <diagonal/>
    </border>
    <border>
      <left style="thin">
        <color rgb="FFCCCCCC"/>
      </left>
      <right/>
      <top style="thin">
        <color rgb="FFCCCCCC"/>
      </top>
      <bottom style="thin">
        <color rgb="FFCCCCCC"/>
      </bottom>
      <diagonal/>
    </border>
    <border>
      <left style="thin">
        <color rgb="FFCCCCCC"/>
      </left>
      <right/>
      <top style="thin">
        <color rgb="FFCCCCCC"/>
      </top>
      <bottom/>
      <diagonal/>
    </border>
    <border>
      <left style="thin">
        <color rgb="FFBAB8B8"/>
      </left>
      <right/>
      <top style="thin">
        <color rgb="FFBAB8B8"/>
      </top>
      <bottom style="thin">
        <color rgb="FFBAB8B8"/>
      </bottom>
      <diagonal/>
    </border>
    <border>
      <left/>
      <right/>
      <top style="medium">
        <color rgb="FF2F773F"/>
      </top>
      <bottom/>
      <diagonal/>
    </border>
    <border>
      <left/>
      <right/>
      <top style="medium">
        <color rgb="FF293F58"/>
      </top>
      <bottom/>
      <diagonal/>
    </border>
    <border>
      <left/>
      <right/>
      <top style="medium">
        <color rgb="FF293F58"/>
      </top>
      <bottom style="medium">
        <color rgb="FF293F58"/>
      </bottom>
      <diagonal/>
    </border>
    <border>
      <left/>
      <right/>
      <top style="medium">
        <color rgb="FF1A7A6D"/>
      </top>
      <bottom/>
      <diagonal/>
    </border>
    <border>
      <left/>
      <right/>
      <top style="medium">
        <color rgb="FF2E9B8C"/>
      </top>
      <bottom/>
      <diagonal/>
    </border>
    <border>
      <left/>
      <right/>
      <top style="medium">
        <color rgb="FF2E9B8C"/>
      </top>
      <bottom style="medium">
        <color rgb="FF2E9B8C"/>
      </bottom>
      <diagonal/>
    </border>
    <border>
      <left/>
      <right/>
      <top style="medium">
        <color rgb="FFD68C00"/>
      </top>
      <bottom/>
      <diagonal/>
    </border>
    <border>
      <left/>
      <right/>
      <top style="medium">
        <color rgb="FFD68C00"/>
      </top>
      <bottom style="medium">
        <color rgb="FFD68C00"/>
      </bottom>
      <diagonal/>
    </border>
    <border>
      <left/>
      <right/>
      <top style="medium">
        <color rgb="FF267AC3"/>
      </top>
      <bottom/>
      <diagonal/>
    </border>
    <border>
      <left/>
      <right/>
      <top style="medium">
        <color rgb="FF267AC3"/>
      </top>
      <bottom style="medium">
        <color rgb="FF267AC3"/>
      </bottom>
      <diagonal/>
    </border>
    <border>
      <left/>
      <right/>
      <top style="medium">
        <color rgb="FFCB0101"/>
      </top>
      <bottom/>
      <diagonal/>
    </border>
    <border>
      <left/>
      <right/>
      <top style="medium">
        <color rgb="FF585858"/>
      </top>
      <bottom/>
      <diagonal/>
    </border>
    <border>
      <left/>
      <right/>
      <top style="thin">
        <color rgb="FFB9C4B4"/>
      </top>
      <bottom/>
      <diagonal/>
    </border>
    <border>
      <left/>
      <right style="thin">
        <color rgb="FFB9C4B4"/>
      </right>
      <top style="thin">
        <color rgb="FFB9C4B4"/>
      </top>
      <bottom/>
      <diagonal/>
    </border>
    <border>
      <left/>
      <right/>
      <top style="medium">
        <color rgb="FF194F7B"/>
      </top>
      <bottom/>
      <diagonal/>
    </border>
    <border>
      <left/>
      <right/>
      <top style="medium">
        <color rgb="FF194F7B"/>
      </top>
      <bottom style="medium">
        <color rgb="FF194F7B"/>
      </bottom>
      <diagonal/>
    </border>
    <border>
      <left/>
      <right/>
      <top style="medium">
        <color rgb="FF2D6A36"/>
      </top>
      <bottom/>
      <diagonal/>
    </border>
    <border>
      <left/>
      <right/>
      <top style="medium">
        <color rgb="FF2D6A36"/>
      </top>
      <bottom style="medium">
        <color rgb="FF2D6A36"/>
      </bottom>
      <diagonal/>
    </border>
    <border>
      <left/>
      <right/>
      <top style="medium">
        <color rgb="FF824A00"/>
      </top>
      <bottom/>
      <diagonal/>
    </border>
    <border>
      <left/>
      <right/>
      <top style="medium">
        <color rgb="FF824A00"/>
      </top>
      <bottom style="medium">
        <color rgb="FF824A00"/>
      </bottom>
      <diagonal/>
    </border>
    <border>
      <left/>
      <right/>
      <top style="thin">
        <color rgb="FFCCCCCC"/>
      </top>
      <bottom/>
      <diagonal/>
    </border>
    <border>
      <left style="thin">
        <color rgb="FFCCCCCC"/>
      </left>
      <right/>
      <top/>
      <bottom/>
      <diagonal/>
    </border>
    <border>
      <left/>
      <right/>
      <top style="thin">
        <color rgb="FFBAB8B8"/>
      </top>
      <bottom/>
      <diagonal/>
    </border>
    <border>
      <left/>
      <right/>
      <top style="thin">
        <color rgb="FFBAB8B8"/>
      </top>
      <bottom style="thin">
        <color rgb="FFBAB8B8"/>
      </bottom>
      <diagonal/>
    </border>
  </borders>
  <cellStyleXfs count="2">
    <xf numFmtId="0" fontId="0" fillId="0" borderId="0"/>
    <xf numFmtId="176" fontId="60" fillId="0" borderId="0"/>
  </cellStyleXfs>
  <cellXfs count="328">
    <xf numFmtId="0" fontId="0" fillId="0" borderId="0" pivotButton="0" quotePrefix="0" xfId="0"/>
    <xf numFmtId="0" fontId="5" fillId="2"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2" applyAlignment="1" pivotButton="0" quotePrefix="0" xfId="0">
      <alignment horizontal="center" vertical="center" wrapText="1"/>
    </xf>
    <xf numFmtId="0" fontId="7" fillId="9" borderId="2" applyAlignment="1" pivotButton="0" quotePrefix="0" xfId="0">
      <alignment horizontal="center" vertical="center"/>
    </xf>
    <xf numFmtId="0" fontId="0" fillId="0" borderId="4" pivotButton="0" quotePrefix="0" xfId="0"/>
    <xf numFmtId="0" fontId="8" fillId="10" borderId="5" applyAlignment="1" pivotButton="0" quotePrefix="0" xfId="0">
      <alignment horizontal="center" vertical="center"/>
    </xf>
    <xf numFmtId="164" fontId="9" fillId="3" borderId="1" applyAlignment="1" pivotButton="0" quotePrefix="0" xfId="0">
      <alignment horizontal="center" vertical="center"/>
    </xf>
    <xf numFmtId="0" fontId="10" fillId="10" borderId="6" applyAlignment="1" pivotButton="0" quotePrefix="0" xfId="0">
      <alignment horizontal="left" vertical="center"/>
    </xf>
    <xf numFmtId="165" fontId="10" fillId="10" borderId="6" applyAlignment="1" pivotButton="0" quotePrefix="0" xfId="0">
      <alignment horizontal="right" vertical="center"/>
    </xf>
    <xf numFmtId="0" fontId="11" fillId="10" borderId="6" applyAlignment="1" pivotButton="0" quotePrefix="0" xfId="0">
      <alignment horizontal="center" vertical="center"/>
    </xf>
    <xf numFmtId="165" fontId="12" fillId="10" borderId="6" applyAlignment="1" pivotButton="0" quotePrefix="0" xfId="0">
      <alignment horizontal="right" vertical="center"/>
    </xf>
    <xf numFmtId="0" fontId="13" fillId="11" borderId="0" applyAlignment="1" pivotButton="0" quotePrefix="0" xfId="0">
      <alignment horizontal="center" vertical="center"/>
    </xf>
    <xf numFmtId="0" fontId="11" fillId="10" borderId="6" applyAlignment="1" pivotButton="0" quotePrefix="0" xfId="0">
      <alignment horizontal="left" vertical="center"/>
    </xf>
    <xf numFmtId="0" fontId="10" fillId="12" borderId="6" applyAlignment="1" pivotButton="0" quotePrefix="0" xfId="0">
      <alignment horizontal="left" vertical="center"/>
    </xf>
    <xf numFmtId="0" fontId="11" fillId="12" borderId="6" applyAlignment="1" pivotButton="0" quotePrefix="0" xfId="0">
      <alignment horizontal="center" vertical="center"/>
    </xf>
    <xf numFmtId="165" fontId="10" fillId="12" borderId="6" applyAlignment="1" pivotButton="0" quotePrefix="0" xfId="0">
      <alignment horizontal="right" vertical="center"/>
    </xf>
    <xf numFmtId="165" fontId="12" fillId="12" borderId="6" applyAlignment="1" pivotButton="0" quotePrefix="0" xfId="0">
      <alignment horizontal="right" vertical="center"/>
    </xf>
    <xf numFmtId="0" fontId="11" fillId="12" borderId="6" applyAlignment="1" pivotButton="0" quotePrefix="0" xfId="0">
      <alignment horizontal="left" vertical="center"/>
    </xf>
    <xf numFmtId="165" fontId="6" fillId="13" borderId="8" applyAlignment="1" pivotButton="0" quotePrefix="0" xfId="0">
      <alignment horizontal="right" vertical="center"/>
    </xf>
    <xf numFmtId="165" fontId="15" fillId="14" borderId="9" applyAlignment="1" pivotButton="0" quotePrefix="0" xfId="0">
      <alignment horizontal="right" vertical="center"/>
    </xf>
    <xf numFmtId="165" fontId="6" fillId="15" borderId="10" applyAlignment="1" pivotButton="0" quotePrefix="0" xfId="0">
      <alignment horizontal="right" vertical="center"/>
    </xf>
    <xf numFmtId="0" fontId="0" fillId="9" borderId="0" pivotButton="0" quotePrefix="0" xfId="0"/>
    <xf numFmtId="165" fontId="16" fillId="13" borderId="8" applyAlignment="1" pivotButton="0" quotePrefix="0" xfId="0">
      <alignment horizontal="right" vertical="center"/>
    </xf>
    <xf numFmtId="0" fontId="8" fillId="12" borderId="5" applyAlignment="1" pivotButton="0" quotePrefix="0" xfId="0">
      <alignment horizontal="center" vertical="center"/>
    </xf>
    <xf numFmtId="165" fontId="0" fillId="0" borderId="0" pivotButton="0" quotePrefix="0" xfId="0"/>
    <xf numFmtId="0" fontId="8" fillId="10" borderId="0" applyAlignment="1" pivotButton="0" quotePrefix="0" xfId="0">
      <alignment horizontal="center" vertical="center"/>
    </xf>
    <xf numFmtId="0" fontId="10" fillId="12" borderId="0" applyAlignment="1" pivotButton="0" quotePrefix="0" xfId="0">
      <alignment horizontal="left" vertical="center"/>
    </xf>
    <xf numFmtId="165" fontId="10" fillId="10" borderId="0" applyAlignment="1" pivotButton="0" quotePrefix="0" xfId="0">
      <alignment horizontal="right" vertical="center"/>
    </xf>
    <xf numFmtId="0" fontId="11" fillId="12" borderId="0" applyAlignment="1" pivotButton="0" quotePrefix="0" xfId="0">
      <alignment horizontal="center" vertical="center"/>
    </xf>
    <xf numFmtId="165" fontId="10" fillId="12" borderId="0" applyAlignment="1" pivotButton="0" quotePrefix="0" xfId="0">
      <alignment horizontal="right" vertical="center"/>
    </xf>
    <xf numFmtId="0" fontId="10" fillId="12" borderId="11" applyAlignment="1" pivotButton="0" quotePrefix="0" xfId="0">
      <alignment horizontal="left" vertical="center"/>
    </xf>
    <xf numFmtId="0" fontId="8" fillId="12" borderId="5" applyAlignment="1" pivotButton="0" quotePrefix="0" xfId="0">
      <alignment horizontal="center" vertical="center"/>
    </xf>
    <xf numFmtId="0" fontId="0" fillId="0" borderId="13" pivotButton="0" quotePrefix="0" xfId="0"/>
    <xf numFmtId="0" fontId="14" fillId="16" borderId="15" applyAlignment="1" pivotButton="0" quotePrefix="0" xfId="0">
      <alignment horizontal="center" vertical="center" wrapText="1"/>
    </xf>
    <xf numFmtId="165" fontId="6" fillId="2" borderId="16" applyAlignment="1" pivotButton="0" quotePrefix="0" xfId="0">
      <alignment horizontal="right" vertical="center"/>
    </xf>
    <xf numFmtId="166" fontId="6" fillId="2" borderId="16" applyAlignment="1" pivotButton="0" quotePrefix="0" xfId="0">
      <alignment horizontal="center" vertical="center"/>
    </xf>
    <xf numFmtId="167" fontId="6" fillId="2" borderId="16" applyAlignment="1" pivotButton="0" quotePrefix="0" xfId="0">
      <alignment horizontal="center" vertical="center"/>
    </xf>
    <xf numFmtId="49" fontId="6" fillId="2" borderId="16" applyAlignment="1" pivotButton="0" quotePrefix="0" xfId="0">
      <alignment horizontal="center" vertical="center"/>
    </xf>
    <xf numFmtId="165" fontId="20" fillId="18" borderId="9" applyAlignment="1" pivotButton="0" quotePrefix="0" xfId="0">
      <alignment horizontal="right" vertical="center"/>
    </xf>
    <xf numFmtId="49" fontId="20" fillId="18" borderId="9" applyAlignment="1" pivotButton="0" quotePrefix="0" xfId="0">
      <alignment horizontal="center" vertical="center"/>
    </xf>
    <xf numFmtId="167" fontId="20" fillId="18" borderId="9" applyAlignment="1" pivotButton="0" quotePrefix="0" xfId="0">
      <alignment horizontal="center" vertical="center"/>
    </xf>
    <xf numFmtId="168" fontId="15" fillId="18" borderId="9" applyAlignment="1" pivotButton="0" quotePrefix="0" xfId="0">
      <alignment horizontal="center" vertical="center"/>
    </xf>
    <xf numFmtId="165" fontId="21" fillId="9" borderId="10" applyAlignment="1" pivotButton="0" quotePrefix="0" xfId="0">
      <alignment horizontal="right" vertical="center"/>
    </xf>
    <xf numFmtId="49" fontId="21" fillId="9" borderId="10" applyAlignment="1" pivotButton="0" quotePrefix="0" xfId="0">
      <alignment horizontal="center" vertical="center"/>
    </xf>
    <xf numFmtId="167" fontId="21" fillId="9" borderId="10" applyAlignment="1" pivotButton="0" quotePrefix="0" xfId="0">
      <alignment horizontal="center" vertical="center"/>
    </xf>
    <xf numFmtId="168" fontId="21" fillId="9" borderId="10" applyAlignment="1" pivotButton="0" quotePrefix="0" xfId="0">
      <alignment horizontal="center" vertical="center"/>
    </xf>
    <xf numFmtId="0" fontId="0" fillId="0" borderId="19" pivotButton="0" quotePrefix="0" xfId="0"/>
    <xf numFmtId="0" fontId="6" fillId="19" borderId="21" applyAlignment="1" pivotButton="0" quotePrefix="0" xfId="0">
      <alignment horizontal="center" vertical="center"/>
    </xf>
    <xf numFmtId="0" fontId="17" fillId="19" borderId="21" pivotButton="0" quotePrefix="0" xfId="0"/>
    <xf numFmtId="165" fontId="6" fillId="19" borderId="21" applyAlignment="1" pivotButton="0" quotePrefix="0" xfId="0">
      <alignment horizontal="right" vertical="center"/>
    </xf>
    <xf numFmtId="0" fontId="14" fillId="19" borderId="20" applyAlignment="1" pivotButton="0" quotePrefix="0" xfId="0">
      <alignment horizontal="center" vertical="center"/>
    </xf>
    <xf numFmtId="0" fontId="0" fillId="0" borderId="22" pivotButton="0" quotePrefix="0" xfId="0"/>
    <xf numFmtId="167" fontId="18" fillId="20" borderId="24" applyAlignment="1" pivotButton="0" quotePrefix="0" xfId="0">
      <alignment horizontal="right" vertical="center"/>
    </xf>
    <xf numFmtId="0" fontId="0" fillId="0" borderId="25" pivotButton="0" quotePrefix="0" xfId="0"/>
    <xf numFmtId="0" fontId="17" fillId="0" borderId="0" pivotButton="0" quotePrefix="0" xfId="0"/>
    <xf numFmtId="169" fontId="0" fillId="0" borderId="0" pivotButton="0" quotePrefix="0" xfId="0"/>
    <xf numFmtId="170" fontId="0" fillId="0" borderId="0" pivotButton="0" quotePrefix="0" xfId="0"/>
    <xf numFmtId="0" fontId="14" fillId="13" borderId="2" applyAlignment="1" pivotButton="0" quotePrefix="0" xfId="0">
      <alignment horizontal="center" vertical="center" wrapText="1"/>
    </xf>
    <xf numFmtId="170" fontId="14" fillId="13" borderId="2" applyAlignment="1" pivotButton="0" quotePrefix="0" xfId="0">
      <alignment horizontal="center" vertical="center" wrapText="1"/>
    </xf>
    <xf numFmtId="0" fontId="25" fillId="12" borderId="2" applyAlignment="1" pivotButton="0" quotePrefix="0" xfId="0">
      <alignment horizontal="center" vertical="center"/>
    </xf>
    <xf numFmtId="171" fontId="26" fillId="22" borderId="2" applyAlignment="1" pivotButton="0" quotePrefix="0" xfId="0">
      <alignment horizontal="center" vertical="center"/>
    </xf>
    <xf numFmtId="0" fontId="26" fillId="22" borderId="2" applyAlignment="1" pivotButton="0" quotePrefix="0" xfId="0">
      <alignment horizontal="center" vertical="center"/>
    </xf>
    <xf numFmtId="0" fontId="27" fillId="12" borderId="2" applyAlignment="1" pivotButton="0" quotePrefix="0" xfId="0">
      <alignment horizontal="center" vertical="center"/>
    </xf>
    <xf numFmtId="0" fontId="28" fillId="23" borderId="2" applyAlignment="1" pivotButton="0" quotePrefix="0" xfId="0">
      <alignment horizontal="center" vertical="center"/>
    </xf>
    <xf numFmtId="170" fontId="27" fillId="12" borderId="2" applyAlignment="1" pivotButton="0" quotePrefix="0" xfId="0">
      <alignment horizontal="right" vertical="center"/>
    </xf>
    <xf numFmtId="170" fontId="28" fillId="23" borderId="2" applyAlignment="1" pivotButton="0" quotePrefix="0" xfId="0">
      <alignment horizontal="right" vertical="center"/>
    </xf>
    <xf numFmtId="170" fontId="29" fillId="24" borderId="2" applyAlignment="1" pivotButton="0" quotePrefix="0" xfId="0">
      <alignment horizontal="right" vertical="center"/>
    </xf>
    <xf numFmtId="170" fontId="30" fillId="22" borderId="2" applyAlignment="1" pivotButton="0" quotePrefix="0" xfId="0">
      <alignment horizontal="left" vertical="center"/>
    </xf>
    <xf numFmtId="170" fontId="31" fillId="25" borderId="2" applyAlignment="1" pivotButton="0" quotePrefix="0" xfId="0">
      <alignment horizontal="right" vertical="center"/>
    </xf>
    <xf numFmtId="0" fontId="25" fillId="26" borderId="2" applyAlignment="1" pivotButton="0" quotePrefix="0" xfId="0">
      <alignment horizontal="center" vertical="center"/>
    </xf>
    <xf numFmtId="0" fontId="27" fillId="26" borderId="2" applyAlignment="1" pivotButton="0" quotePrefix="0" xfId="0">
      <alignment horizontal="center" vertical="center"/>
    </xf>
    <xf numFmtId="170" fontId="27" fillId="26" borderId="2" applyAlignment="1" pivotButton="0" quotePrefix="0" xfId="0">
      <alignment horizontal="right" vertical="center"/>
    </xf>
    <xf numFmtId="164" fontId="26" fillId="22" borderId="2" applyAlignment="1" pivotButton="0" quotePrefix="0" xfId="0">
      <alignment horizontal="center" vertical="center"/>
    </xf>
    <xf numFmtId="0" fontId="14" fillId="27" borderId="2" applyAlignment="1" pivotButton="0" quotePrefix="0" xfId="0">
      <alignment horizontal="center" vertical="center" wrapText="1"/>
    </xf>
    <xf numFmtId="0" fontId="32" fillId="28" borderId="2" applyAlignment="1" pivotButton="0" quotePrefix="0" xfId="0">
      <alignment horizontal="center" vertical="center" wrapText="1"/>
    </xf>
    <xf numFmtId="0" fontId="26" fillId="29" borderId="2" applyAlignment="1" pivotButton="0" quotePrefix="0" xfId="0">
      <alignment horizontal="center" vertical="center"/>
    </xf>
    <xf numFmtId="0" fontId="33" fillId="29" borderId="2" applyAlignment="1" pivotButton="0" quotePrefix="0" xfId="0">
      <alignment horizontal="center" vertical="center"/>
    </xf>
    <xf numFmtId="3" fontId="34" fillId="30" borderId="2" applyAlignment="1" pivotButton="0" quotePrefix="0" xfId="0">
      <alignment horizontal="center" vertical="center"/>
    </xf>
    <xf numFmtId="3" fontId="34" fillId="29" borderId="2" applyAlignment="1" pivotButton="0" quotePrefix="0" xfId="0">
      <alignment horizontal="center" vertical="center"/>
    </xf>
    <xf numFmtId="3" fontId="26" fillId="29" borderId="2" applyAlignment="1" pivotButton="0" quotePrefix="0" xfId="0">
      <alignment horizontal="center" vertical="center"/>
    </xf>
    <xf numFmtId="3" fontId="35" fillId="29" borderId="2" applyAlignment="1" pivotButton="0" quotePrefix="0" xfId="0">
      <alignment horizontal="center" vertical="center"/>
    </xf>
    <xf numFmtId="0" fontId="26" fillId="24" borderId="2" applyAlignment="1" pivotButton="0" quotePrefix="0" xfId="0">
      <alignment horizontal="center" vertical="center"/>
    </xf>
    <xf numFmtId="0" fontId="33" fillId="24" borderId="2" applyAlignment="1" pivotButton="0" quotePrefix="0" xfId="0">
      <alignment horizontal="center" vertical="center"/>
    </xf>
    <xf numFmtId="3" fontId="34" fillId="24" borderId="2" applyAlignment="1" pivotButton="0" quotePrefix="0" xfId="0">
      <alignment horizontal="center" vertical="center"/>
    </xf>
    <xf numFmtId="3" fontId="26" fillId="24" borderId="2" applyAlignment="1" pivotButton="0" quotePrefix="0" xfId="0">
      <alignment horizontal="center" vertical="center"/>
    </xf>
    <xf numFmtId="3" fontId="35" fillId="24" borderId="2" applyAlignment="1" pivotButton="0" quotePrefix="0" xfId="0">
      <alignment horizontal="center" vertical="center"/>
    </xf>
    <xf numFmtId="0" fontId="26" fillId="31" borderId="2" applyAlignment="1" pivotButton="0" quotePrefix="0" xfId="0">
      <alignment horizontal="center" vertical="center"/>
    </xf>
    <xf numFmtId="0" fontId="33" fillId="31" borderId="2" applyAlignment="1" pivotButton="0" quotePrefix="0" xfId="0">
      <alignment horizontal="center" vertical="center"/>
    </xf>
    <xf numFmtId="3" fontId="34" fillId="31" borderId="2" applyAlignment="1" pivotButton="0" quotePrefix="0" xfId="0">
      <alignment horizontal="center" vertical="center"/>
    </xf>
    <xf numFmtId="3" fontId="26" fillId="31" borderId="2" applyAlignment="1" pivotButton="0" quotePrefix="0" xfId="0">
      <alignment horizontal="center" vertical="center"/>
    </xf>
    <xf numFmtId="3" fontId="35" fillId="31" borderId="2" applyAlignment="1" pivotButton="0" quotePrefix="0" xfId="0">
      <alignment horizontal="center" vertical="center"/>
    </xf>
    <xf numFmtId="0" fontId="6" fillId="27" borderId="2" applyAlignment="1" pivotButton="0" quotePrefix="0" xfId="0">
      <alignment horizontal="center" vertical="center"/>
    </xf>
    <xf numFmtId="3" fontId="34" fillId="28" borderId="2" applyAlignment="1" pivotButton="0" quotePrefix="0" xfId="0">
      <alignment horizontal="center" vertical="center"/>
    </xf>
    <xf numFmtId="3" fontId="6" fillId="27" borderId="2" applyAlignment="1" pivotButton="0" quotePrefix="0" xfId="0">
      <alignment horizontal="center" vertical="center"/>
    </xf>
    <xf numFmtId="0" fontId="36" fillId="0" borderId="0" pivotButton="0" quotePrefix="0" xfId="0"/>
    <xf numFmtId="0" fontId="40" fillId="34" borderId="26" applyAlignment="1" pivotButton="0" quotePrefix="0" xfId="0">
      <alignment horizontal="center" vertical="center" wrapText="1"/>
    </xf>
    <xf numFmtId="170" fontId="40" fillId="34" borderId="26" applyAlignment="1" pivotButton="0" quotePrefix="0" xfId="0">
      <alignment horizontal="center" vertical="center" wrapText="1"/>
    </xf>
    <xf numFmtId="170" fontId="40" fillId="35" borderId="26" applyAlignment="1" pivotButton="0" quotePrefix="0" xfId="0">
      <alignment horizontal="center" vertical="center" wrapText="1"/>
    </xf>
    <xf numFmtId="170" fontId="40" fillId="36" borderId="26" applyAlignment="1" pivotButton="0" quotePrefix="0" xfId="0">
      <alignment horizontal="center" vertical="center" wrapText="1"/>
    </xf>
    <xf numFmtId="0" fontId="0" fillId="12" borderId="26" applyAlignment="1" pivotButton="0" quotePrefix="0" xfId="0">
      <alignment horizontal="center" vertical="center"/>
    </xf>
    <xf numFmtId="171" fontId="0" fillId="12" borderId="26" applyAlignment="1" pivotButton="0" quotePrefix="0" xfId="0">
      <alignment horizontal="center" vertical="center"/>
    </xf>
    <xf numFmtId="170" fontId="0" fillId="12" borderId="26" applyAlignment="1" pivotButton="0" quotePrefix="0" xfId="0">
      <alignment horizontal="right" vertical="center"/>
    </xf>
    <xf numFmtId="170" fontId="0" fillId="25" borderId="26" applyAlignment="1" pivotButton="0" quotePrefix="0" xfId="0">
      <alignment horizontal="right" vertical="center"/>
    </xf>
    <xf numFmtId="170" fontId="0" fillId="37" borderId="26" applyAlignment="1" pivotButton="0" quotePrefix="0" xfId="0">
      <alignment horizontal="right" vertical="center"/>
    </xf>
    <xf numFmtId="170" fontId="0" fillId="12" borderId="26" applyAlignment="1" pivotButton="0" quotePrefix="0" xfId="0">
      <alignment horizontal="center" vertical="center"/>
    </xf>
    <xf numFmtId="0" fontId="0" fillId="38" borderId="26" applyAlignment="1" pivotButton="0" quotePrefix="0" xfId="0">
      <alignment horizontal="center" vertical="center"/>
    </xf>
    <xf numFmtId="171" fontId="0" fillId="38" borderId="26" applyAlignment="1" pivotButton="0" quotePrefix="0" xfId="0">
      <alignment horizontal="center" vertical="center"/>
    </xf>
    <xf numFmtId="170" fontId="0" fillId="38" borderId="26" applyAlignment="1" pivotButton="0" quotePrefix="0" xfId="0">
      <alignment horizontal="right" vertical="center"/>
    </xf>
    <xf numFmtId="170" fontId="0" fillId="38" borderId="26" applyAlignment="1" pivotButton="0" quotePrefix="0" xfId="0">
      <alignment horizontal="center" vertical="center"/>
    </xf>
    <xf numFmtId="0" fontId="41" fillId="22" borderId="26" applyAlignment="1" pivotButton="0" quotePrefix="0" xfId="0">
      <alignment horizontal="left" vertical="center"/>
    </xf>
    <xf numFmtId="0" fontId="41" fillId="22" borderId="26" applyAlignment="1" pivotButton="0" quotePrefix="0" xfId="0">
      <alignment horizontal="center" vertical="center"/>
    </xf>
    <xf numFmtId="170" fontId="41" fillId="22" borderId="26" applyAlignment="1" pivotButton="0" quotePrefix="0" xfId="0">
      <alignment horizontal="right" vertical="center"/>
    </xf>
    <xf numFmtId="170" fontId="42" fillId="39" borderId="26" applyAlignment="1" pivotButton="0" quotePrefix="0" xfId="0">
      <alignment horizontal="right" vertical="center"/>
    </xf>
    <xf numFmtId="170" fontId="42" fillId="40" borderId="26" applyAlignment="1" pivotButton="0" quotePrefix="0" xfId="0">
      <alignment horizontal="right" vertical="center"/>
    </xf>
    <xf numFmtId="170" fontId="41" fillId="22" borderId="26" applyAlignment="1" pivotButton="0" quotePrefix="0" xfId="0">
      <alignment horizontal="center" vertical="center"/>
    </xf>
    <xf numFmtId="0" fontId="39" fillId="32" borderId="0" applyAlignment="1" pivotButton="0" quotePrefix="0" xfId="0">
      <alignment horizontal="left" vertical="center"/>
    </xf>
    <xf numFmtId="0" fontId="43" fillId="33" borderId="0" applyAlignment="1" pivotButton="0" quotePrefix="0" xfId="0">
      <alignment horizontal="left" vertical="center"/>
    </xf>
    <xf numFmtId="0" fontId="42" fillId="12" borderId="26" applyAlignment="1" pivotButton="0" quotePrefix="0" xfId="0">
      <alignment horizontal="left" vertical="center"/>
    </xf>
    <xf numFmtId="172" fontId="10" fillId="0" borderId="26" applyAlignment="1" pivotButton="0" quotePrefix="0" xfId="0">
      <alignment horizontal="right" vertical="center"/>
    </xf>
    <xf numFmtId="0" fontId="42" fillId="38" borderId="26" applyAlignment="1" pivotButton="0" quotePrefix="0" xfId="0">
      <alignment horizontal="left" vertical="center"/>
    </xf>
    <xf numFmtId="0" fontId="40" fillId="41" borderId="26" applyAlignment="1" pivotButton="0" quotePrefix="0" xfId="0">
      <alignment horizontal="center" vertical="center" wrapText="1"/>
    </xf>
    <xf numFmtId="0" fontId="42" fillId="42" borderId="26" pivotButton="0" quotePrefix="0" xfId="0"/>
    <xf numFmtId="3" fontId="42" fillId="42" borderId="26" applyAlignment="1" pivotButton="0" quotePrefix="0" xfId="0">
      <alignment horizontal="right"/>
    </xf>
    <xf numFmtId="173" fontId="47" fillId="37" borderId="26" applyAlignment="1" pivotButton="0" quotePrefix="0" xfId="0">
      <alignment horizontal="right"/>
    </xf>
    <xf numFmtId="173" fontId="48" fillId="22" borderId="26" applyAlignment="1" pivotButton="0" quotePrefix="0" xfId="0">
      <alignment horizontal="right"/>
    </xf>
    <xf numFmtId="0" fontId="42" fillId="0" borderId="26" applyAlignment="1" pivotButton="0" quotePrefix="0" xfId="0">
      <alignment horizontal="center" vertical="center"/>
    </xf>
    <xf numFmtId="0" fontId="0" fillId="0" borderId="26" applyAlignment="1" pivotButton="0" quotePrefix="0" xfId="0">
      <alignment horizontal="center"/>
    </xf>
    <xf numFmtId="0" fontId="0" fillId="21" borderId="26" applyAlignment="1" pivotButton="0" quotePrefix="0" xfId="0">
      <alignment horizontal="center"/>
    </xf>
    <xf numFmtId="0" fontId="46" fillId="41" borderId="26" applyAlignment="1" pivotButton="0" quotePrefix="0" xfId="0">
      <alignment horizontal="center"/>
    </xf>
    <xf numFmtId="173" fontId="46" fillId="41" borderId="26" applyAlignment="1" pivotButton="0" quotePrefix="0" xfId="0">
      <alignment horizontal="right"/>
    </xf>
    <xf numFmtId="0" fontId="0" fillId="41" borderId="26" pivotButton="0" quotePrefix="0" xfId="0"/>
    <xf numFmtId="0" fontId="0" fillId="11" borderId="26" applyAlignment="1" pivotButton="0" quotePrefix="0" xfId="0">
      <alignment horizontal="center" vertical="center"/>
    </xf>
    <xf numFmtId="0" fontId="42" fillId="21" borderId="26" applyAlignment="1" pivotButton="0" quotePrefix="0" xfId="0">
      <alignment horizontal="center" vertical="center"/>
    </xf>
    <xf numFmtId="171" fontId="0" fillId="21" borderId="26" applyAlignment="1" pivotButton="0" quotePrefix="0" xfId="0">
      <alignment horizontal="center"/>
    </xf>
    <xf numFmtId="173" fontId="51" fillId="21" borderId="26" pivotButton="0" quotePrefix="0" xfId="0"/>
    <xf numFmtId="0" fontId="0" fillId="21" borderId="26" pivotButton="0" quotePrefix="0" xfId="0"/>
    <xf numFmtId="0" fontId="47" fillId="11" borderId="26" applyAlignment="1" pivotButton="0" quotePrefix="0" xfId="0">
      <alignment horizontal="center"/>
    </xf>
    <xf numFmtId="3" fontId="48" fillId="11" borderId="26" applyAlignment="1" pivotButton="0" quotePrefix="0" xfId="0">
      <alignment horizontal="right"/>
    </xf>
    <xf numFmtId="0" fontId="52" fillId="22" borderId="0" pivotButton="0" quotePrefix="0" xfId="0"/>
    <xf numFmtId="0" fontId="53" fillId="42" borderId="0" pivotButton="0" quotePrefix="0" xfId="0"/>
    <xf numFmtId="0" fontId="54" fillId="24" borderId="0" pivotButton="0" quotePrefix="0" xfId="0"/>
    <xf numFmtId="0" fontId="58" fillId="29" borderId="27" applyAlignment="1" pivotButton="0" quotePrefix="0" xfId="0">
      <alignment horizontal="center" vertical="center"/>
    </xf>
    <xf numFmtId="0" fontId="0" fillId="0" borderId="28" pivotButton="0" quotePrefix="0" xfId="0"/>
    <xf numFmtId="0" fontId="59" fillId="45" borderId="27" applyAlignment="1" pivotButton="0" quotePrefix="0" xfId="0">
      <alignment horizontal="center" vertical="center"/>
    </xf>
    <xf numFmtId="0" fontId="59" fillId="45" borderId="27" applyAlignment="1" pivotButton="0" quotePrefix="0" xfId="0">
      <alignment horizontal="left" vertical="center"/>
    </xf>
    <xf numFmtId="165" fontId="59" fillId="45" borderId="27" applyAlignment="1" pivotButton="0" quotePrefix="0" xfId="0">
      <alignment horizontal="right" vertical="center"/>
    </xf>
    <xf numFmtId="0" fontId="59" fillId="45" borderId="29" applyAlignment="1" pivotButton="0" quotePrefix="0" xfId="0">
      <alignment horizontal="left" vertical="center"/>
    </xf>
    <xf numFmtId="0" fontId="0" fillId="0" borderId="30" pivotButton="0" quotePrefix="0" xfId="0"/>
    <xf numFmtId="165" fontId="57" fillId="46" borderId="27" applyAlignment="1" pivotButton="0" quotePrefix="0" xfId="0">
      <alignment horizontal="right" vertical="center"/>
    </xf>
    <xf numFmtId="0" fontId="57" fillId="43" borderId="0" applyAlignment="1" pivotButton="0" quotePrefix="0" xfId="0">
      <alignment horizontal="center" vertical="center"/>
    </xf>
    <xf numFmtId="0" fontId="63" fillId="11" borderId="0" applyAlignment="1" pivotButton="0" quotePrefix="0" xfId="0">
      <alignment horizontal="left" vertical="center" wrapText="1"/>
    </xf>
    <xf numFmtId="0" fontId="59" fillId="47" borderId="27" applyAlignment="1" pivotButton="0" quotePrefix="0" xfId="0">
      <alignment horizontal="center" vertical="center"/>
    </xf>
    <xf numFmtId="169" fontId="59" fillId="47" borderId="27" applyAlignment="1" pivotButton="0" quotePrefix="0" xfId="0">
      <alignment horizontal="center" vertical="center"/>
    </xf>
    <xf numFmtId="0" fontId="59" fillId="47" borderId="27" applyAlignment="1" pivotButton="0" quotePrefix="0" xfId="0">
      <alignment horizontal="left" vertical="center"/>
    </xf>
    <xf numFmtId="165" fontId="59" fillId="47" borderId="27" applyAlignment="1" pivotButton="0" quotePrefix="0" xfId="0">
      <alignment horizontal="right" vertical="center"/>
    </xf>
    <xf numFmtId="0" fontId="59" fillId="47" borderId="27" applyAlignment="1" pivotButton="0" quotePrefix="0" xfId="0">
      <alignment vertical="center"/>
    </xf>
    <xf numFmtId="0" fontId="62" fillId="19" borderId="27" applyAlignment="1" pivotButton="0" quotePrefix="0" xfId="0">
      <alignment horizontal="left" vertical="center"/>
    </xf>
    <xf numFmtId="0" fontId="64" fillId="48" borderId="0" applyAlignment="1" pivotButton="0" quotePrefix="0" xfId="0">
      <alignment horizontal="center" vertical="center" wrapText="1"/>
    </xf>
    <xf numFmtId="0" fontId="65" fillId="49" borderId="0" pivotButton="0" quotePrefix="0" xfId="0"/>
    <xf numFmtId="0" fontId="67" fillId="50" borderId="29" applyAlignment="1" pivotButton="0" quotePrefix="0" xfId="0">
      <alignment horizontal="right" vertical="center"/>
    </xf>
    <xf numFmtId="0" fontId="66" fillId="45" borderId="29" applyAlignment="1" pivotButton="0" quotePrefix="0" xfId="0">
      <alignment horizontal="right" vertical="center"/>
    </xf>
    <xf numFmtId="0" fontId="57" fillId="0" borderId="29" applyAlignment="1" pivotButton="0" quotePrefix="0" xfId="0">
      <alignment horizontal="right" vertical="center"/>
    </xf>
    <xf numFmtId="165" fontId="57" fillId="0" borderId="27" applyAlignment="1" pivotButton="0" quotePrefix="0" xfId="0">
      <alignment horizontal="right" vertical="center"/>
    </xf>
    <xf numFmtId="0" fontId="62" fillId="0" borderId="29" applyAlignment="1" pivotButton="0" quotePrefix="0" xfId="0">
      <alignment horizontal="left" vertical="center"/>
    </xf>
    <xf numFmtId="0" fontId="14" fillId="7" borderId="31" applyAlignment="1" pivotButton="0" quotePrefix="0" xfId="0">
      <alignment horizontal="center" vertical="center" wrapText="1"/>
    </xf>
    <xf numFmtId="0" fontId="70" fillId="14" borderId="9" applyAlignment="1" pivotButton="0" quotePrefix="0" xfId="0">
      <alignment horizontal="center" vertical="center" wrapText="1"/>
    </xf>
    <xf numFmtId="0" fontId="14" fillId="15" borderId="10" applyAlignment="1" pivotButton="0" quotePrefix="0" xfId="0">
      <alignment horizontal="center" vertical="center" wrapText="1"/>
    </xf>
    <xf numFmtId="0" fontId="71" fillId="12" borderId="1" applyAlignment="1" pivotButton="0" quotePrefix="0" xfId="0">
      <alignment horizontal="left" vertical="center"/>
    </xf>
    <xf numFmtId="1" fontId="72" fillId="12" borderId="1" applyAlignment="1" pivotButton="0" quotePrefix="0" xfId="0">
      <alignment horizontal="center" vertical="center"/>
    </xf>
    <xf numFmtId="165" fontId="20" fillId="18" borderId="32" applyAlignment="1" pivotButton="0" quotePrefix="0" xfId="0">
      <alignment horizontal="right" vertical="center"/>
    </xf>
    <xf numFmtId="165" fontId="21" fillId="9" borderId="33" applyAlignment="1" pivotButton="0" quotePrefix="0" xfId="0">
      <alignment horizontal="right" vertical="center"/>
    </xf>
    <xf numFmtId="165" fontId="12" fillId="12" borderId="1" applyAlignment="1" pivotButton="0" quotePrefix="0" xfId="0">
      <alignment horizontal="right" vertical="center"/>
    </xf>
    <xf numFmtId="165" fontId="5" fillId="2" borderId="16" applyAlignment="1" pivotButton="0" quotePrefix="0" xfId="0">
      <alignment horizontal="right" vertical="center"/>
    </xf>
    <xf numFmtId="0" fontId="71" fillId="23" borderId="1" applyAlignment="1" pivotButton="0" quotePrefix="0" xfId="0">
      <alignment horizontal="left" vertical="center"/>
    </xf>
    <xf numFmtId="1" fontId="72" fillId="23" borderId="1" applyAlignment="1" pivotButton="0" quotePrefix="0" xfId="0">
      <alignment horizontal="center" vertical="center"/>
    </xf>
    <xf numFmtId="165" fontId="12" fillId="23" borderId="1" applyAlignment="1" pivotButton="0" quotePrefix="0" xfId="0">
      <alignment horizontal="right" vertical="center"/>
    </xf>
    <xf numFmtId="0" fontId="0" fillId="0" borderId="0" pivotButton="0" quotePrefix="0" xfId="0"/>
    <xf numFmtId="0" fontId="0" fillId="0" borderId="34" pivotButton="0" quotePrefix="0" xfId="0"/>
    <xf numFmtId="165" fontId="5" fillId="7" borderId="31" applyAlignment="1" pivotButton="0" quotePrefix="0" xfId="0">
      <alignment horizontal="right" vertical="center"/>
    </xf>
    <xf numFmtId="0" fontId="14" fillId="51" borderId="36" applyAlignment="1" pivotButton="0" quotePrefix="0" xfId="0">
      <alignment horizontal="center" vertical="center" wrapText="1"/>
    </xf>
    <xf numFmtId="0" fontId="71" fillId="37" borderId="1" applyAlignment="1" pivotButton="0" quotePrefix="0" xfId="0">
      <alignment horizontal="left" vertical="center"/>
    </xf>
    <xf numFmtId="1" fontId="72" fillId="37" borderId="1" applyAlignment="1" pivotButton="0" quotePrefix="0" xfId="0">
      <alignment horizontal="center" vertical="center"/>
    </xf>
    <xf numFmtId="165" fontId="12" fillId="37" borderId="1" applyAlignment="1" pivotButton="0" quotePrefix="0" xfId="0">
      <alignment horizontal="right" vertical="center"/>
    </xf>
    <xf numFmtId="165" fontId="5" fillId="51" borderId="36" applyAlignment="1" pivotButton="0" quotePrefix="0" xfId="0">
      <alignment horizontal="right" vertical="center"/>
    </xf>
    <xf numFmtId="0" fontId="14" fillId="52" borderId="38" applyAlignment="1" pivotButton="0" quotePrefix="0" xfId="0">
      <alignment horizontal="center" vertical="center" wrapText="1"/>
    </xf>
    <xf numFmtId="0" fontId="71" fillId="25" borderId="1" applyAlignment="1" pivotButton="0" quotePrefix="0" xfId="0">
      <alignment horizontal="left" vertical="center"/>
    </xf>
    <xf numFmtId="1" fontId="72" fillId="25" borderId="1" applyAlignment="1" pivotButton="0" quotePrefix="0" xfId="0">
      <alignment horizontal="center" vertical="center"/>
    </xf>
    <xf numFmtId="165" fontId="12" fillId="25" borderId="1" applyAlignment="1" pivotButton="0" quotePrefix="0" xfId="0">
      <alignment horizontal="right" vertical="center"/>
    </xf>
    <xf numFmtId="165" fontId="5" fillId="52" borderId="38" applyAlignment="1" pivotButton="0" quotePrefix="0" xfId="0">
      <alignment horizontal="right" vertical="center"/>
    </xf>
    <xf numFmtId="0" fontId="10" fillId="25" borderId="1" applyAlignment="1" pivotButton="0" quotePrefix="0" xfId="0">
      <alignment horizontal="left" vertical="center"/>
    </xf>
    <xf numFmtId="0" fontId="10" fillId="25" borderId="1" applyAlignment="1" pivotButton="0" quotePrefix="0" xfId="0">
      <alignment horizontal="center" vertical="center"/>
    </xf>
    <xf numFmtId="165" fontId="10" fillId="18" borderId="1" applyAlignment="1" pivotButton="0" quotePrefix="0" xfId="0">
      <alignment horizontal="right" vertical="center"/>
    </xf>
    <xf numFmtId="165" fontId="10" fillId="9" borderId="1" applyAlignment="1" pivotButton="0" quotePrefix="0" xfId="0">
      <alignment horizontal="right" vertical="center"/>
    </xf>
    <xf numFmtId="165" fontId="10" fillId="25" borderId="1" applyAlignment="1" pivotButton="0" quotePrefix="0" xfId="0">
      <alignment horizontal="right" vertical="center"/>
    </xf>
    <xf numFmtId="0" fontId="10" fillId="12" borderId="1" applyAlignment="1" pivotButton="0" quotePrefix="0" xfId="0">
      <alignment horizontal="left" vertical="center"/>
    </xf>
    <xf numFmtId="0" fontId="10" fillId="12" borderId="1" applyAlignment="1" pivotButton="0" quotePrefix="0" xfId="0">
      <alignment horizontal="center" vertical="center"/>
    </xf>
    <xf numFmtId="165" fontId="10" fillId="12" borderId="1" applyAlignment="1" pivotButton="0" quotePrefix="0" xfId="0">
      <alignment horizontal="right" vertical="center"/>
    </xf>
    <xf numFmtId="0" fontId="5" fillId="52" borderId="40" applyAlignment="1" pivotButton="0" quotePrefix="0" xfId="0">
      <alignment horizontal="center" vertical="center"/>
    </xf>
    <xf numFmtId="165" fontId="5" fillId="52" borderId="1" applyAlignment="1" pivotButton="0" quotePrefix="0" xfId="0">
      <alignment horizontal="right" vertical="center"/>
    </xf>
    <xf numFmtId="0" fontId="5" fillId="20" borderId="1" applyAlignment="1" pivotButton="0" quotePrefix="0" xfId="0">
      <alignment horizontal="center" vertical="center" wrapText="1"/>
    </xf>
    <xf numFmtId="0" fontId="83" fillId="18" borderId="1" applyAlignment="1" pivotButton="0" quotePrefix="0" xfId="0">
      <alignment horizontal="left" vertical="center"/>
    </xf>
    <xf numFmtId="165" fontId="83" fillId="18" borderId="1" applyAlignment="1" pivotButton="0" quotePrefix="0" xfId="0">
      <alignment horizontal="right" vertical="center"/>
    </xf>
    <xf numFmtId="0" fontId="84" fillId="9" borderId="1" applyAlignment="1" pivotButton="0" quotePrefix="0" xfId="0">
      <alignment horizontal="left" vertical="center"/>
    </xf>
    <xf numFmtId="165" fontId="84" fillId="9" borderId="1" applyAlignment="1" pivotButton="0" quotePrefix="0" xfId="0">
      <alignment horizontal="right" vertical="center"/>
    </xf>
    <xf numFmtId="0" fontId="12" fillId="3" borderId="1" applyAlignment="1" pivotButton="0" quotePrefix="0" xfId="0">
      <alignment horizontal="left" vertical="center"/>
    </xf>
    <xf numFmtId="165" fontId="12" fillId="3" borderId="1" applyAlignment="1" pivotButton="0" quotePrefix="0" xfId="0">
      <alignment horizontal="right" vertical="center"/>
    </xf>
    <xf numFmtId="165" fontId="15" fillId="14" borderId="9" applyAlignment="1" pivotButton="0" quotePrefix="0" xfId="0">
      <alignment horizontal="center" vertical="center"/>
    </xf>
    <xf numFmtId="168" fontId="20" fillId="18" borderId="9" applyAlignment="1" pivotButton="0" quotePrefix="0" xfId="0">
      <alignment horizontal="center" vertical="center"/>
    </xf>
    <xf numFmtId="165" fontId="6" fillId="15" borderId="10" applyAlignment="1" pivotButton="0" quotePrefix="0" xfId="0">
      <alignment horizontal="center" vertical="center"/>
    </xf>
    <xf numFmtId="165" fontId="5" fillId="2" borderId="16" applyAlignment="1" pivotButton="0" quotePrefix="0" xfId="0">
      <alignment horizontal="center" vertical="center"/>
    </xf>
    <xf numFmtId="165" fontId="85" fillId="3" borderId="16" applyAlignment="1" pivotButton="0" quotePrefix="0" xfId="0">
      <alignment horizontal="right" vertical="center"/>
    </xf>
    <xf numFmtId="166" fontId="85" fillId="3" borderId="16" applyAlignment="1" pivotButton="0" quotePrefix="0" xfId="0">
      <alignment horizontal="center" vertical="center"/>
    </xf>
    <xf numFmtId="49" fontId="85" fillId="3" borderId="16" applyAlignment="1" pivotButton="0" quotePrefix="0" xfId="0">
      <alignment horizontal="center" vertical="center"/>
    </xf>
    <xf numFmtId="0" fontId="5" fillId="34" borderId="2" applyAlignment="1" pivotButton="0" quotePrefix="0" xfId="0">
      <alignment horizontal="center" vertical="center"/>
    </xf>
    <xf numFmtId="0" fontId="87" fillId="12" borderId="2" applyAlignment="1" pivotButton="0" quotePrefix="0" xfId="0">
      <alignment horizontal="left" vertical="center"/>
    </xf>
    <xf numFmtId="0" fontId="88" fillId="12" borderId="2" applyAlignment="1" pivotButton="0" quotePrefix="0" xfId="0">
      <alignment horizontal="left" vertical="center" wrapText="1"/>
    </xf>
    <xf numFmtId="0" fontId="88" fillId="12" borderId="2" applyAlignment="1" pivotButton="0" quotePrefix="0" xfId="0">
      <alignment horizontal="center" vertical="center"/>
    </xf>
    <xf numFmtId="0" fontId="87" fillId="29" borderId="2" applyAlignment="1" pivotButton="0" quotePrefix="0" xfId="0">
      <alignment horizontal="left" vertical="center"/>
    </xf>
    <xf numFmtId="0" fontId="88" fillId="29" borderId="2" applyAlignment="1" pivotButton="0" quotePrefix="0" xfId="0">
      <alignment horizontal="left" vertical="center" wrapText="1"/>
    </xf>
    <xf numFmtId="0" fontId="88" fillId="29" borderId="2" applyAlignment="1" pivotButton="0" quotePrefix="0" xfId="0">
      <alignment horizontal="center" vertical="center"/>
    </xf>
    <xf numFmtId="0" fontId="88" fillId="12" borderId="2" applyAlignment="1" pivotButton="0" quotePrefix="0" xfId="0">
      <alignment horizontal="left" vertical="center"/>
    </xf>
    <xf numFmtId="170" fontId="88" fillId="12" borderId="2" applyAlignment="1" pivotButton="0" quotePrefix="0" xfId="0">
      <alignment horizontal="center" vertical="center"/>
    </xf>
    <xf numFmtId="170" fontId="87" fillId="22" borderId="2" applyAlignment="1" pivotButton="0" quotePrefix="0" xfId="0">
      <alignment horizontal="center" vertical="center"/>
    </xf>
    <xf numFmtId="170" fontId="87" fillId="37" borderId="2" applyAlignment="1" pivotButton="0" quotePrefix="0" xfId="0">
      <alignment horizontal="center" vertical="center"/>
    </xf>
    <xf numFmtId="0" fontId="88" fillId="29" borderId="2" applyAlignment="1" pivotButton="0" quotePrefix="0" xfId="0">
      <alignment horizontal="left" vertical="center"/>
    </xf>
    <xf numFmtId="170" fontId="88" fillId="29" borderId="2" applyAlignment="1" pivotButton="0" quotePrefix="0" xfId="0">
      <alignment horizontal="center" vertical="center"/>
    </xf>
    <xf numFmtId="170" fontId="87" fillId="22" borderId="0" applyAlignment="1" pivotButton="0" quotePrefix="0" xfId="0">
      <alignment horizontal="center" vertical="center"/>
    </xf>
    <xf numFmtId="0" fontId="6" fillId="2" borderId="1" applyAlignment="1" pivotButton="0" quotePrefix="0" xfId="0">
      <alignment horizontal="center" vertical="center"/>
    </xf>
    <xf numFmtId="0" fontId="10" fillId="12" borderId="1" pivotButton="0" quotePrefix="0" xfId="0"/>
    <xf numFmtId="0" fontId="10" fillId="3" borderId="1" pivotButton="0" quotePrefix="0" xfId="0"/>
    <xf numFmtId="0" fontId="59" fillId="47" borderId="27" applyAlignment="1" pivotButton="0" quotePrefix="0" xfId="0">
      <alignment horizontal="center" vertical="center"/>
    </xf>
    <xf numFmtId="174" fontId="60" fillId="0" borderId="0" pivotButton="0" quotePrefix="0" xfId="1"/>
    <xf numFmtId="172" fontId="60" fillId="0" borderId="27" applyAlignment="1" pivotButton="0" quotePrefix="0" xfId="1">
      <alignment horizontal="center" vertical="center"/>
    </xf>
    <xf numFmtId="0" fontId="89" fillId="0" borderId="0" pivotButton="0" quotePrefix="0" xfId="0"/>
    <xf numFmtId="174" fontId="60" fillId="57" borderId="0" pivotButton="0" quotePrefix="0" xfId="1"/>
    <xf numFmtId="175" fontId="60" fillId="57" borderId="30" pivotButton="0" quotePrefix="0" xfId="1"/>
    <xf numFmtId="175" fontId="60" fillId="57" borderId="0" pivotButton="0" quotePrefix="0" xfId="1"/>
    <xf numFmtId="165" fontId="0" fillId="57" borderId="30" pivotButton="0" quotePrefix="0" xfId="0"/>
    <xf numFmtId="0" fontId="14" fillId="16" borderId="14" applyAlignment="1" pivotButton="0" quotePrefix="0" xfId="0">
      <alignment horizontal="center" vertical="center"/>
    </xf>
    <xf numFmtId="0" fontId="5" fillId="2" borderId="12" applyAlignment="1" pivotButton="0" quotePrefix="0" xfId="0">
      <alignment horizontal="center" vertical="center"/>
    </xf>
    <xf numFmtId="0" fontId="17" fillId="17" borderId="0" pivotButton="0" quotePrefix="0" xfId="0"/>
    <xf numFmtId="0" fontId="19" fillId="14" borderId="17" applyAlignment="1" pivotButton="0" quotePrefix="0" xfId="0">
      <alignment horizontal="center" vertical="center"/>
    </xf>
    <xf numFmtId="0" fontId="5" fillId="15" borderId="18" applyAlignment="1" pivotButton="0" quotePrefix="0" xfId="0">
      <alignment horizontal="center" vertical="center"/>
    </xf>
    <xf numFmtId="0" fontId="17" fillId="17" borderId="19" pivotButton="0" quotePrefix="0" xfId="0"/>
    <xf numFmtId="0" fontId="5" fillId="19" borderId="20" applyAlignment="1" pivotButton="0" quotePrefix="0" xfId="0">
      <alignment horizontal="center" vertical="center"/>
    </xf>
    <xf numFmtId="0" fontId="6" fillId="20" borderId="23" applyAlignment="1" pivotButton="0" quotePrefix="0" xfId="0">
      <alignment horizontal="center" vertical="center"/>
    </xf>
    <xf numFmtId="0" fontId="22" fillId="20" borderId="23" applyAlignment="1" pivotButton="0" quotePrefix="0" xfId="0">
      <alignment horizontal="left" vertical="center"/>
    </xf>
    <xf numFmtId="0" fontId="14" fillId="13" borderId="7" applyAlignment="1" pivotButton="0" quotePrefix="0" xfId="0">
      <alignment horizontal="left" vertical="center"/>
    </xf>
    <xf numFmtId="0" fontId="5" fillId="8" borderId="3" applyAlignment="1" pivotButton="0" quotePrefix="0" xfId="0">
      <alignment horizontal="left" vertical="center"/>
    </xf>
    <xf numFmtId="0" fontId="17" fillId="2" borderId="0" pivotButton="0" quotePrefix="0" xfId="0"/>
    <xf numFmtId="0" fontId="18" fillId="2" borderId="12"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right" vertical="center"/>
    </xf>
    <xf numFmtId="0" fontId="23" fillId="13" borderId="0" applyAlignment="1" pivotButton="0" quotePrefix="0" xfId="0">
      <alignment horizontal="center" vertical="center"/>
    </xf>
    <xf numFmtId="0" fontId="24" fillId="21" borderId="0" applyAlignment="1" pivotButton="0" quotePrefix="0" xfId="0">
      <alignment horizontal="center" vertical="center"/>
    </xf>
    <xf numFmtId="0" fontId="23" fillId="27" borderId="0" applyAlignment="1" pivotButton="0" quotePrefix="0" xfId="0">
      <alignment horizontal="center" vertical="center"/>
    </xf>
    <xf numFmtId="0" fontId="4" fillId="11" borderId="0" applyAlignment="1" pivotButton="0" quotePrefix="0" xfId="0">
      <alignment horizontal="center" vertical="center"/>
    </xf>
    <xf numFmtId="0" fontId="0" fillId="0" borderId="0" pivotButton="0" quotePrefix="0" xfId="0"/>
    <xf numFmtId="0" fontId="37" fillId="32" borderId="0" applyAlignment="1" pivotButton="0" quotePrefix="0" xfId="0">
      <alignment horizontal="center" vertical="center"/>
    </xf>
    <xf numFmtId="0" fontId="38" fillId="33" borderId="0" applyAlignment="1" pivotButton="0" quotePrefix="0" xfId="0">
      <alignment horizontal="center" vertical="center"/>
    </xf>
    <xf numFmtId="0" fontId="39" fillId="32" borderId="0" applyAlignment="1" pivotButton="0" quotePrefix="0" xfId="0">
      <alignment horizontal="left" vertical="center"/>
    </xf>
    <xf numFmtId="0" fontId="50" fillId="0" borderId="0" pivotButton="0" quotePrefix="0" xfId="0"/>
    <xf numFmtId="0" fontId="46" fillId="34" borderId="0" applyAlignment="1" pivotButton="0" quotePrefix="0" xfId="0">
      <alignment vertical="center"/>
    </xf>
    <xf numFmtId="0" fontId="42" fillId="0" borderId="0" pivotButton="0" quotePrefix="0" xfId="0"/>
    <xf numFmtId="0" fontId="44" fillId="41" borderId="0" applyAlignment="1" pivotButton="0" quotePrefix="0" xfId="0">
      <alignment horizontal="left" vertical="center"/>
    </xf>
    <xf numFmtId="0" fontId="45" fillId="22" borderId="0" applyAlignment="1" pivotButton="0" quotePrefix="0" xfId="0">
      <alignment horizontal="left" vertical="center" wrapText="1"/>
    </xf>
    <xf numFmtId="0" fontId="49" fillId="0" borderId="0" pivotButton="0" quotePrefix="0" xfId="0"/>
    <xf numFmtId="0" fontId="57" fillId="46" borderId="29" applyAlignment="1" pivotButton="0" quotePrefix="0" xfId="0">
      <alignment horizontal="right" vertical="center"/>
    </xf>
    <xf numFmtId="0" fontId="62" fillId="46" borderId="29" applyAlignment="1" pivotButton="0" quotePrefix="0" xfId="0">
      <alignment horizontal="left" vertical="center"/>
    </xf>
    <xf numFmtId="0" fontId="59" fillId="47" borderId="27" applyAlignment="1" pivotButton="0" quotePrefix="0" xfId="0">
      <alignment horizontal="center" vertical="center"/>
    </xf>
    <xf numFmtId="0" fontId="57" fillId="19" borderId="29" applyAlignment="1" pivotButton="0" quotePrefix="0" xfId="0">
      <alignment horizontal="center" vertical="center"/>
    </xf>
    <xf numFmtId="0" fontId="0" fillId="0" borderId="0" pivotButton="0" quotePrefix="0" xfId="0"/>
    <xf numFmtId="0" fontId="59" fillId="45" borderId="29" applyAlignment="1" pivotButton="0" quotePrefix="0" xfId="0">
      <alignment horizontal="left" vertical="center"/>
    </xf>
    <xf numFmtId="0" fontId="59" fillId="45" borderId="27" applyAlignment="1" pivotButton="0" quotePrefix="0" xfId="0">
      <alignment horizontal="center" vertical="center"/>
    </xf>
    <xf numFmtId="0" fontId="61" fillId="45" borderId="27" applyAlignment="1" pivotButton="0" quotePrefix="0" xfId="0">
      <alignment horizontal="center" vertical="center"/>
    </xf>
    <xf numFmtId="0" fontId="55" fillId="43" borderId="0" applyAlignment="1" pivotButton="0" quotePrefix="0" xfId="0">
      <alignment horizontal="center" vertical="center"/>
    </xf>
    <xf numFmtId="0" fontId="56" fillId="44" borderId="0" applyAlignment="1" pivotButton="0" quotePrefix="0" xfId="0">
      <alignment horizontal="center" vertical="center"/>
    </xf>
    <xf numFmtId="0" fontId="57" fillId="43" borderId="0" applyAlignment="1" pivotButton="0" quotePrefix="0" xfId="0">
      <alignment horizontal="center" vertical="center"/>
    </xf>
    <xf numFmtId="0" fontId="58" fillId="29" borderId="27" applyAlignment="1" pivotButton="0" quotePrefix="0" xfId="0">
      <alignment horizontal="center" vertical="center"/>
    </xf>
    <xf numFmtId="0" fontId="68" fillId="7" borderId="0" applyAlignment="1" pivotButton="0" quotePrefix="0" xfId="0">
      <alignment horizontal="center" vertical="center"/>
    </xf>
    <xf numFmtId="0" fontId="69" fillId="23" borderId="0" applyAlignment="1" pivotButton="0" quotePrefix="0" xfId="0">
      <alignment horizontal="center" vertical="center"/>
    </xf>
    <xf numFmtId="0" fontId="5" fillId="7" borderId="35" applyAlignment="1" pivotButton="0" quotePrefix="0" xfId="0">
      <alignment horizontal="center" vertical="center"/>
    </xf>
    <xf numFmtId="0" fontId="68" fillId="51" borderId="0" applyAlignment="1" pivotButton="0" quotePrefix="0" xfId="0">
      <alignment horizontal="center" vertical="center"/>
    </xf>
    <xf numFmtId="0" fontId="73" fillId="37" borderId="0" applyAlignment="1" pivotButton="0" quotePrefix="0" xfId="0">
      <alignment horizontal="center" vertical="center"/>
    </xf>
    <xf numFmtId="0" fontId="5" fillId="51" borderId="37" applyAlignment="1" pivotButton="0" quotePrefix="0" xfId="0">
      <alignment horizontal="center" vertical="center"/>
    </xf>
    <xf numFmtId="0" fontId="68" fillId="52" borderId="0" applyAlignment="1" pivotButton="0" quotePrefix="0" xfId="0">
      <alignment horizontal="center" vertical="center"/>
    </xf>
    <xf numFmtId="0" fontId="74" fillId="25" borderId="0" applyAlignment="1" pivotButton="0" quotePrefix="0" xfId="0">
      <alignment horizontal="center" vertical="center"/>
    </xf>
    <xf numFmtId="0" fontId="5" fillId="52" borderId="39" applyAlignment="1" pivotButton="0" quotePrefix="0" xfId="0">
      <alignment horizontal="center" vertical="center"/>
    </xf>
    <xf numFmtId="0" fontId="5" fillId="20" borderId="40" applyAlignment="1" pivotButton="0" quotePrefix="0" xfId="0">
      <alignment horizontal="center" vertical="center"/>
    </xf>
    <xf numFmtId="0" fontId="23" fillId="7" borderId="35" applyAlignment="1" pivotButton="0" quotePrefix="0" xfId="0">
      <alignment horizontal="center" vertical="center"/>
    </xf>
    <xf numFmtId="0" fontId="82" fillId="10" borderId="40" applyAlignment="1" pivotButton="0" quotePrefix="0" xfId="0">
      <alignment horizontal="center" vertical="center"/>
    </xf>
    <xf numFmtId="1" fontId="77" fillId="12" borderId="41" applyAlignment="1" pivotButton="0" quotePrefix="0" xfId="0">
      <alignment horizontal="right" vertical="center"/>
    </xf>
    <xf numFmtId="165" fontId="78" fillId="12" borderId="41" applyAlignment="1" pivotButton="0" quotePrefix="0" xfId="0">
      <alignment horizontal="right" vertical="center"/>
    </xf>
    <xf numFmtId="165" fontId="79" fillId="12" borderId="41" applyAlignment="1" pivotButton="0" quotePrefix="0" xfId="0">
      <alignment horizontal="right" vertical="center"/>
    </xf>
    <xf numFmtId="165" fontId="80" fillId="12" borderId="41" applyAlignment="1" pivotButton="0" quotePrefix="0" xfId="0">
      <alignment horizontal="right" vertical="center"/>
    </xf>
    <xf numFmtId="167" fontId="81" fillId="12" borderId="41" applyAlignment="1" pivotButton="0" quotePrefix="0" xfId="0">
      <alignment horizontal="right" vertical="center"/>
    </xf>
    <xf numFmtId="0" fontId="75" fillId="53" borderId="0" applyAlignment="1" pivotButton="0" quotePrefix="0" xfId="0">
      <alignment horizontal="center" vertical="center"/>
    </xf>
    <xf numFmtId="0" fontId="76" fillId="54" borderId="0" applyAlignment="1" pivotButton="0" quotePrefix="0" xfId="0">
      <alignment horizontal="center" vertical="center"/>
    </xf>
    <xf numFmtId="0" fontId="14" fillId="2" borderId="40" applyAlignment="1" pivotButton="0" quotePrefix="0" xfId="0">
      <alignment horizontal="center" vertical="center"/>
    </xf>
    <xf numFmtId="0" fontId="14" fillId="7" borderId="40" applyAlignment="1" pivotButton="0" quotePrefix="0" xfId="0">
      <alignment horizontal="center" vertical="center"/>
    </xf>
    <xf numFmtId="0" fontId="14" fillId="14" borderId="40" applyAlignment="1" pivotButton="0" quotePrefix="0" xfId="0">
      <alignment horizontal="center" vertical="center"/>
    </xf>
    <xf numFmtId="0" fontId="14" fillId="15" borderId="40" applyAlignment="1" pivotButton="0" quotePrefix="0" xfId="0">
      <alignment horizontal="center" vertical="center"/>
    </xf>
    <xf numFmtId="0" fontId="14" fillId="19" borderId="40" applyAlignment="1" pivotButton="0" quotePrefix="0" xfId="0">
      <alignment horizontal="center" vertical="center"/>
    </xf>
    <xf numFmtId="0" fontId="88" fillId="29" borderId="42" applyAlignment="1" pivotButton="0" quotePrefix="0" xfId="0">
      <alignment horizontal="left" vertical="center" indent="1"/>
    </xf>
    <xf numFmtId="0" fontId="86" fillId="41" borderId="0" applyAlignment="1" pivotButton="0" quotePrefix="0" xfId="0">
      <alignment horizontal="center" vertical="center"/>
    </xf>
    <xf numFmtId="0" fontId="5" fillId="34" borderId="42" applyAlignment="1" pivotButton="0" quotePrefix="0" xfId="0">
      <alignment horizontal="center" vertical="center"/>
    </xf>
    <xf numFmtId="0" fontId="18" fillId="20" borderId="0" applyAlignment="1" pivotButton="0" quotePrefix="0" xfId="0">
      <alignment horizontal="center" vertical="center"/>
    </xf>
    <xf numFmtId="0" fontId="10" fillId="56" borderId="41" applyAlignment="1" pivotButton="0" quotePrefix="0" xfId="0">
      <alignment horizontal="left" vertical="center" wrapText="1"/>
    </xf>
    <xf numFmtId="0" fontId="5" fillId="55" borderId="40" applyAlignment="1" pivotButton="0" quotePrefix="0" xfId="0">
      <alignment horizontal="left" vertical="center"/>
    </xf>
    <xf numFmtId="0" fontId="86" fillId="55" borderId="0" applyAlignment="1" pivotButton="0" quotePrefix="0" xfId="0">
      <alignment horizontal="center" vertical="center"/>
    </xf>
    <xf numFmtId="0" fontId="0" fillId="0" borderId="0" pivotButton="0" quotePrefix="0" xfId="0"/>
    <xf numFmtId="0" fontId="11" fillId="12" borderId="0" applyAlignment="1" pivotButton="0" quotePrefix="0" xfId="0">
      <alignment horizontal="left" vertical="center"/>
    </xf>
    <xf numFmtId="0" fontId="0" fillId="0" borderId="45" pivotButton="0" quotePrefix="0" xfId="0"/>
    <xf numFmtId="0" fontId="0" fillId="0" borderId="48" pivotButton="0" quotePrefix="0" xfId="0"/>
    <xf numFmtId="0" fontId="0" fillId="0" borderId="50" pivotButton="0" quotePrefix="0" xfId="0"/>
    <xf numFmtId="0" fontId="0" fillId="0" borderId="52" pivotButton="0" quotePrefix="0" xfId="0"/>
    <xf numFmtId="174" fontId="60" fillId="0" borderId="0" pivotButton="0" quotePrefix="0" xfId="1"/>
    <xf numFmtId="174" fontId="60" fillId="57" borderId="0" pivotButton="0" quotePrefix="0" xfId="1"/>
    <xf numFmtId="0" fontId="0" fillId="0" borderId="58" pivotButton="0" quotePrefix="0" xfId="0"/>
    <xf numFmtId="0" fontId="0" fillId="0" borderId="60" pivotButton="0" quotePrefix="0" xfId="0"/>
    <xf numFmtId="0" fontId="0" fillId="0" borderId="62" pivotButton="0" quotePrefix="0" xfId="0"/>
    <xf numFmtId="0" fontId="0" fillId="0" borderId="63" pivotButton="0" quotePrefix="0" xfId="0"/>
    <xf numFmtId="0" fontId="0" fillId="0" borderId="64" pivotButton="0" quotePrefix="0" xfId="0"/>
    <xf numFmtId="0" fontId="0" fillId="0" borderId="66" pivotButton="0" quotePrefix="0" xfId="0"/>
  </cellXfs>
  <cellStyles count="2">
    <cellStyle name="Normal" xfId="0" builtinId="0"/>
    <cellStyle name="Currency" xfId="1" builtinId="4"/>
  </cellStyles>
  <dxfs count="89">
    <dxf>
      <fill>
        <patternFill>
          <bgColor rgb="FFFFE0E0"/>
        </patternFill>
      </fill>
    </dxf>
    <dxf>
      <fill>
        <patternFill>
          <bgColor rgb="FFD6E8FA"/>
        </patternFill>
      </fill>
    </dxf>
    <dxf>
      <fill>
        <patternFill>
          <bgColor rgb="FFFFF3CD"/>
        </patternFill>
      </fill>
    </dxf>
    <dxf>
      <fill>
        <patternFill>
          <bgColor rgb="FFFFE0E0"/>
        </patternFill>
      </fill>
    </dxf>
    <dxf>
      <font>
        <name val="Arial"/>
        <charset val="1"/>
        <b val="1"/>
        <color rgb="FFFFFFFF"/>
        <sz val="9"/>
      </font>
      <fill>
        <patternFill>
          <bgColor rgb="FFCC0000"/>
        </patternFill>
      </fill>
    </dxf>
    <dxf>
      <font>
        <name val="Arial"/>
        <charset val="1"/>
        <b val="1"/>
        <color rgb="FFFFFFFF"/>
        <sz val="9"/>
      </font>
      <fill>
        <patternFill>
          <bgColor rgb="FF2E7D32"/>
        </patternFill>
      </fill>
    </dxf>
    <dxf>
      <fill>
        <patternFill>
          <bgColor rgb="FFFFE0E0"/>
        </patternFill>
      </fill>
    </dxf>
    <dxf>
      <fill>
        <patternFill>
          <bgColor rgb="FFFFE0E0"/>
        </patternFill>
      </fill>
    </dxf>
    <dxf>
      <font>
        <strike val="1"/>
        <color rgb="FFC00000"/>
      </font>
      <fill>
        <patternFill>
          <bgColor rgb="FFFFAAAA"/>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ill>
        <patternFill>
          <bgColor rgb="FFFFE0E0"/>
        </patternFill>
      </fill>
    </dxf>
    <dxf>
      <fill>
        <patternFill>
          <bgColor rgb="FFD6E8FA"/>
        </patternFill>
      </fill>
    </dxf>
    <dxf>
      <fill>
        <patternFill>
          <bgColor rgb="FFFFF3CD"/>
        </patternFill>
      </fill>
    </dxf>
    <dxf>
      <font>
        <name val="Arial"/>
        <charset val="1"/>
        <b val="1"/>
        <color rgb="FFFFFFFF"/>
        <sz val="9"/>
      </font>
      <fill>
        <patternFill>
          <bgColor rgb="FFCC0000"/>
        </patternFill>
      </fill>
    </dxf>
    <dxf>
      <font>
        <name val="Arial"/>
        <charset val="1"/>
        <b val="1"/>
        <color rgb="FFFFFFFF"/>
        <sz val="9"/>
      </font>
      <fill>
        <patternFill>
          <bgColor rgb="FF2E7D32"/>
        </patternFill>
      </fill>
    </dxf>
    <dxf>
      <fill>
        <patternFill>
          <bgColor rgb="FFFFE0E0"/>
        </patternFill>
      </fill>
    </dxf>
    <dxf>
      <fill>
        <patternFill>
          <bgColor rgb="FFFFE0E0"/>
        </patternFill>
      </fill>
    </dxf>
    <dxf>
      <font>
        <color rgb="FFC00000"/>
      </font>
      <fill>
        <patternFill>
          <bgColor rgb="FFFFAAAA"/>
        </patternFill>
      </fill>
    </dxf>
    <dxf>
      <fill>
        <patternFill>
          <bgColor rgb="FFFFE0E0"/>
        </patternFill>
      </fill>
    </dxf>
    <dxf>
      <font>
        <name val="Arial"/>
        <charset val="1"/>
        <b val="1"/>
        <color rgb="FFFFFFFF"/>
        <sz val="10"/>
      </font>
      <fill>
        <patternFill>
          <bgColor rgb="FF2779BD"/>
        </patternFill>
      </fill>
    </dxf>
    <dxf>
      <font>
        <name val="Arial"/>
        <charset val="1"/>
        <b val="1"/>
        <color rgb="FF000000"/>
        <sz val="10"/>
      </font>
      <fill>
        <patternFill>
          <bgColor rgb="FFE8A000"/>
        </patternFill>
      </fill>
    </dxf>
    <dxf>
      <font>
        <strike val="1"/>
        <color rgb="FFC00000"/>
      </font>
      <fill>
        <patternFill>
          <bgColor rgb="FFFFAAAA"/>
        </patternFill>
      </fill>
    </dxf>
    <dxf>
      <fill>
        <patternFill>
          <bgColor rgb="FFFFE0E0"/>
        </patternFill>
      </fill>
    </dxf>
    <dxf>
      <fill>
        <patternFill>
          <bgColor rgb="FFD6E8FA"/>
        </patternFill>
      </fill>
    </dxf>
    <dxf>
      <fill>
        <patternFill>
          <bgColor rgb="FFFFF3CD"/>
        </patternFill>
      </fill>
    </dxf>
    <dxf>
      <fill>
        <patternFill>
          <bgColor rgb="FFFFE0E0"/>
        </patternFill>
      </fill>
    </dxf>
    <dxf>
      <font>
        <name val="Arial"/>
        <charset val="1"/>
        <b val="1"/>
        <color rgb="FFFFFFFF"/>
        <sz val="10"/>
      </font>
      <fill>
        <patternFill>
          <bgColor rgb="FF2779BD"/>
        </patternFill>
      </fill>
    </dxf>
    <dxf>
      <font>
        <name val="Arial"/>
        <charset val="1"/>
        <b val="1"/>
        <color rgb="FF000000"/>
        <sz val="10"/>
      </font>
      <fill>
        <patternFill>
          <bgColor rgb="FFE8A000"/>
        </patternFill>
      </fill>
    </dxf>
    <dxf>
      <fill>
        <patternFill>
          <bgColor rgb="FFFFE0E0"/>
        </patternFill>
      </fill>
    </dxf>
    <dxf>
      <fill>
        <patternFill>
          <bgColor rgb="FFD6E8FA"/>
        </patternFill>
      </fill>
    </dxf>
    <dxf>
      <fill>
        <patternFill>
          <bgColor rgb="FFFFF3CD"/>
        </patternFill>
      </fill>
    </dxf>
    <dxf>
      <font>
        <strike val="1"/>
        <color rgb="FFC00000"/>
      </font>
      <fill>
        <patternFill>
          <bgColor rgb="FFFFAAAA"/>
        </patternFill>
      </fill>
    </dxf>
    <dxf>
      <fill>
        <patternFill>
          <bgColor rgb="FFFFE0E0"/>
        </patternFill>
      </fill>
    </dxf>
    <dxf>
      <fill>
        <patternFill>
          <bgColor rgb="FFD6E8FA"/>
        </patternFill>
      </fill>
    </dxf>
    <dxf>
      <fill>
        <patternFill>
          <bgColor rgb="FFFFF3CD"/>
        </patternFill>
      </fill>
    </dxf>
    <dxf>
      <fill>
        <patternFill>
          <bgColor rgb="FFFFE0E0"/>
        </patternFill>
      </fill>
    </dxf>
  </dxfs>
  <tableStyles count="0" defaultTableStyle="TableStyleMedium2" defaultPivotStyle="PivotStyleLight16"/>
  <colors>
    <indexedColors>
      <rgbColor rgb="FF000000"/>
      <rgbColor rgb="FFFFFFFF"/>
      <rgbColor rgb="FFCB0101"/>
      <rgbColor rgb="FFE8F5E9"/>
      <rgbColor rgb="FFF5F5F5"/>
      <rgbColor rgb="FFFFF3CD"/>
      <rgbColor rgb="FFFFE0E0"/>
      <rgbColor rgb="FFD6E8FB"/>
      <rgbColor rgb="FFBF0000"/>
      <rgbColor rgb="FF1D7A4B"/>
      <rgbColor rgb="FF08082D"/>
      <rgbColor rgb="FF2F773F"/>
      <rgbColor rgb="FFF2F2F2"/>
      <rgbColor rgb="FF1A7B6E"/>
      <rgbColor rgb="FFB9C4B4"/>
      <rgbColor rgb="FF2E75B6"/>
      <rgbColor rgb="FFD6E4F6"/>
      <rgbColor rgb="FF1F4E79"/>
      <rgbColor rgb="FFFFF9C4"/>
      <rgbColor rgb="FFD6F0EC"/>
      <rgbColor rgb="FF2F6E43"/>
      <rgbColor rgb="FFE7DDDE"/>
      <rgbColor rgb="FF186CBC"/>
      <rgbColor rgb="FFBDD7EE"/>
      <rgbColor rgb="FF194F7B"/>
      <rgbColor rgb="FFFCE4D6"/>
      <rgbColor rgb="FFFFF4D4"/>
      <rgbColor rgb="FFDEEBF5"/>
      <rgbColor rgb="FFEBF4FC"/>
      <rgbColor rgb="FFEBF5FC"/>
      <rgbColor rgb="FF1A7A6D"/>
      <rgbColor rgb="FFFFFDE5"/>
      <rgbColor rgb="FF1D70BC"/>
      <rgbColor rgb="FFE3F2FD"/>
      <rgbColor rgb="FFD4F0D5"/>
      <rgbColor rgb="FFFFF3CA"/>
      <rgbColor rgb="FFCCCCCC"/>
      <rgbColor rgb="FFFFAAAA"/>
      <rgbColor rgb="FFDFDEE2"/>
      <rgbColor rgb="FFFCE5CF"/>
      <rgbColor rgb="FF2878BF"/>
      <rgbColor rgb="FF267AC3"/>
      <rgbColor rgb="FFE2EFDA"/>
      <rgbColor rgb="FFE79F00"/>
      <rgbColor rgb="FFE9A000"/>
      <rgbColor rgb="FFD68C00"/>
      <rgbColor rgb="FF585858"/>
      <rgbColor rgb="FFBAB8B8"/>
      <rgbColor rgb="FF15355B"/>
      <rgbColor rgb="FF2E9B8C"/>
      <rgbColor rgb="FF1D611E"/>
      <rgbColor rgb="FF293F58"/>
      <rgbColor rgb="FF824A00"/>
      <rgbColor rgb="FF2D6A36"/>
      <rgbColor rgb="FF213B5D"/>
      <rgbColor rgb="FF3E302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7B6E"/>
    <outlinePr summaryBelow="1" summaryRight="1"/>
    <pageSetUpPr/>
  </sheetPr>
  <dimension ref="A1:N1121"/>
  <sheetViews>
    <sheetView showGridLines="0" zoomScaleNormal="100" workbookViewId="0">
      <pane ySplit="5" topLeftCell="A293" activePane="bottomLeft" state="frozen"/>
      <selection pane="bottomLeft" activeCell="C312" sqref="C312"/>
    </sheetView>
  </sheetViews>
  <sheetFormatPr baseColWidth="8" defaultColWidth="8.7109375" defaultRowHeight="15"/>
  <cols>
    <col width="5.5703125" customWidth="1" style="314" min="1" max="1"/>
    <col width="13" customWidth="1" style="314" min="2" max="2"/>
    <col width="24" customWidth="1" style="314" min="3" max="3"/>
    <col width="16" customWidth="1" style="314" min="4" max="4"/>
    <col width="15" customWidth="1" style="314" min="5" max="5"/>
    <col width="16" customWidth="1" style="314" min="6" max="7"/>
    <col width="15" customWidth="1" style="314" min="8" max="8"/>
    <col width="16" customWidth="1" style="314" min="9" max="9"/>
    <col width="14" customWidth="1" style="314" min="10" max="10"/>
    <col width="16.140625" customWidth="1" style="314" min="11" max="11"/>
    <col width="12.85546875" customWidth="1" style="314" min="12" max="12"/>
  </cols>
  <sheetData>
    <row r="1" ht="43.5" customHeight="1" s="314">
      <c r="A1" s="252" t="inlineStr">
        <is>
          <t>🏥  PEMBUKUAN KLINIK</t>
        </is>
      </c>
    </row>
    <row r="2" ht="19.5" customHeight="1" s="314">
      <c r="A2" s="253" t="inlineStr">
        <is>
          <t>Pencatatan mulai Rabu, 01 April 2026  —  Subtotal muncul otomatis setiap akhir tanggal</t>
        </is>
      </c>
    </row>
    <row r="3" ht="19.5" customHeight="1" s="314">
      <c r="A3" s="254" t="inlineStr">
        <is>
          <t>💡 CARA INPUT: Tanggal sudah terisi otomatis per blok hari.  ① Nama Pasien  ② Biaya Dokter  ③ Jenis Bayar Dokter ▼  ④ Status Obat ▼  ⑤ Biaya Obat  ⑥ Jenis Bayar Obat ▼  ⑦ Keterangan ▼</t>
        </is>
      </c>
    </row>
    <row r="4" ht="15.75" customHeight="1" s="314">
      <c r="A4" s="255" t="inlineStr">
        <is>
          <t>🟡 Cash = kuning   🔵 Transfer = biru   🔴 Tidak Ambil Obat = merah   🟢 Blok hijau = header hari   🔵 Subtotal biru = otomatis</t>
        </is>
      </c>
      <c r="F4" s="256" t="inlineStr">
        <is>
          <t>📅 Mulai: 01 April 2026   |   15 slot pasien/hari   |   Format Accounting (Rp)</t>
        </is>
      </c>
    </row>
    <row r="5" ht="42" customHeight="1" s="314">
      <c r="A5" s="1" t="inlineStr">
        <is>
          <t>No.</t>
        </is>
      </c>
      <c r="B5" s="1" t="inlineStr">
        <is>
          <t>Tanggal</t>
        </is>
      </c>
      <c r="C5" s="1" t="inlineStr">
        <is>
          <t>Nama Pasien</t>
        </is>
      </c>
      <c r="D5" s="1" t="inlineStr">
        <is>
          <t>Biaya Dokter
(Rp)</t>
        </is>
      </c>
      <c r="E5" s="1" t="inlineStr">
        <is>
          <t>Jenis Bayar
Dokter ▼</t>
        </is>
      </c>
      <c r="F5" s="2" t="inlineStr">
        <is>
          <t>Status
Obat ▼</t>
        </is>
      </c>
      <c r="G5" s="1" t="inlineStr">
        <is>
          <t>Biaya Obat
(Rp)</t>
        </is>
      </c>
      <c r="H5" s="1" t="inlineStr">
        <is>
          <t>Jenis Bayar
Obat ▼</t>
        </is>
      </c>
      <c r="I5" s="1" t="inlineStr">
        <is>
          <t>Total Biaya
(Rp)</t>
        </is>
      </c>
      <c r="J5" s="3" t="inlineStr">
        <is>
          <t>Dokter
Per Hari ▼</t>
        </is>
      </c>
      <c r="K5" s="1" t="inlineStr">
        <is>
          <t>Keterangan ▼</t>
        </is>
      </c>
    </row>
    <row r="6" ht="24" customHeight="1" s="314">
      <c r="A6" s="249" t="inlineStr">
        <is>
          <t>📅  Rabu, 01 April 2026</t>
        </is>
      </c>
      <c r="B6" s="5" t="n"/>
      <c r="C6" s="5" t="n"/>
      <c r="D6" s="5" t="n"/>
      <c r="E6" s="5" t="n"/>
      <c r="F6" s="5" t="n"/>
      <c r="G6" s="5" t="n"/>
      <c r="H6" s="5" t="n"/>
      <c r="I6" s="5" t="n"/>
      <c r="J6" s="4" t="n"/>
      <c r="K6" s="5" t="n"/>
    </row>
    <row r="7" ht="21.75" customHeight="1" s="314">
      <c r="A7" s="6" t="n">
        <v>1</v>
      </c>
      <c r="B7" s="7" t="n">
        <v>46113</v>
      </c>
      <c r="C7" s="8" t="n"/>
      <c r="D7" s="9" t="n"/>
      <c r="E7" s="10" t="inlineStr">
        <is>
          <t>▼</t>
        </is>
      </c>
      <c r="F7" s="10" t="inlineStr">
        <is>
          <t>▼</t>
        </is>
      </c>
      <c r="G7" s="9" t="n"/>
      <c r="H7" s="10" t="inlineStr">
        <is>
          <t>▼</t>
        </is>
      </c>
      <c r="I7" s="11">
        <f>IF(C7="","",D7+IF(F7="Ambil Obat",IF(G7="",0,G7),0))</f>
        <v/>
      </c>
      <c r="J7" s="12" t="n"/>
      <c r="K7" s="13" t="inlineStr">
        <is>
          <t>▼</t>
        </is>
      </c>
    </row>
    <row r="8" ht="21.75" customHeight="1" s="314">
      <c r="A8" s="6" t="n">
        <v>2</v>
      </c>
      <c r="B8" s="7" t="n">
        <v>46113</v>
      </c>
      <c r="C8" s="14" t="n"/>
      <c r="D8" s="9" t="n"/>
      <c r="E8" s="15" t="inlineStr">
        <is>
          <t>▼</t>
        </is>
      </c>
      <c r="F8" s="15" t="inlineStr">
        <is>
          <t>▼</t>
        </is>
      </c>
      <c r="G8" s="16" t="n"/>
      <c r="H8" s="15" t="inlineStr">
        <is>
          <t>▼</t>
        </is>
      </c>
      <c r="I8" s="17">
        <f>IF(C8="","",D8+IF(F8="Ambil Obat",IF(G8="",0,G8),0))</f>
        <v/>
      </c>
      <c r="J8" s="12" t="n"/>
      <c r="K8" s="18" t="inlineStr">
        <is>
          <t>▼</t>
        </is>
      </c>
    </row>
    <row r="9" ht="21.75" customHeight="1" s="314">
      <c r="A9" s="6" t="n">
        <v>3</v>
      </c>
      <c r="B9" s="7" t="n">
        <v>46113</v>
      </c>
      <c r="C9" s="8" t="n"/>
      <c r="D9" s="9" t="n"/>
      <c r="E9" s="10" t="inlineStr">
        <is>
          <t>▼</t>
        </is>
      </c>
      <c r="F9" s="10" t="inlineStr">
        <is>
          <t>▼</t>
        </is>
      </c>
      <c r="G9" s="9" t="n"/>
      <c r="H9" s="10" t="inlineStr">
        <is>
          <t>▼</t>
        </is>
      </c>
      <c r="I9" s="11">
        <f>IF(C9="","",D9+IF(F9="Ambil Obat",IF(G9="",0,G9),0))</f>
        <v/>
      </c>
      <c r="J9" s="12" t="n"/>
      <c r="K9" s="13" t="inlineStr">
        <is>
          <t>▼</t>
        </is>
      </c>
    </row>
    <row r="10" ht="21.75" customHeight="1" s="314">
      <c r="A10" s="6" t="n">
        <v>4</v>
      </c>
      <c r="B10" s="7" t="n">
        <v>46113</v>
      </c>
      <c r="C10" s="14" t="n"/>
      <c r="D10" s="9" t="n"/>
      <c r="E10" s="15" t="inlineStr">
        <is>
          <t>▼</t>
        </is>
      </c>
      <c r="F10" s="15" t="inlineStr">
        <is>
          <t>▼</t>
        </is>
      </c>
      <c r="G10" s="9" t="n"/>
      <c r="H10" s="15" t="inlineStr">
        <is>
          <t>▼</t>
        </is>
      </c>
      <c r="I10" s="17">
        <f>IF(C10="","",D10+IF(F10="Ambil Obat",IF(G10="",0,G10),0))</f>
        <v/>
      </c>
      <c r="J10" s="12" t="n"/>
      <c r="K10" s="18" t="inlineStr">
        <is>
          <t>▼</t>
        </is>
      </c>
    </row>
    <row r="11" ht="21.75" customHeight="1" s="314">
      <c r="A11" s="6" t="n">
        <v>5</v>
      </c>
      <c r="B11" s="7" t="n">
        <v>46113</v>
      </c>
      <c r="C11" s="8" t="n"/>
      <c r="D11" s="9" t="n"/>
      <c r="E11" s="10" t="inlineStr">
        <is>
          <t>▼</t>
        </is>
      </c>
      <c r="F11" s="10" t="inlineStr">
        <is>
          <t>▼</t>
        </is>
      </c>
      <c r="G11" s="9" t="n"/>
      <c r="H11" s="10" t="inlineStr">
        <is>
          <t>▼</t>
        </is>
      </c>
      <c r="I11" s="11">
        <f>IF(C11="","",D11+IF(F11="Ambil Obat",IF(G11="",0,G11),0))</f>
        <v/>
      </c>
      <c r="J11" s="12" t="n"/>
      <c r="K11" s="13" t="inlineStr">
        <is>
          <t>▼</t>
        </is>
      </c>
    </row>
    <row r="12" ht="21.75" customHeight="1" s="314">
      <c r="A12" s="6" t="n">
        <v>6</v>
      </c>
      <c r="B12" s="7" t="n">
        <v>46113</v>
      </c>
      <c r="C12" s="14" t="n"/>
      <c r="D12" s="9" t="n"/>
      <c r="E12" s="15" t="inlineStr">
        <is>
          <t>▼</t>
        </is>
      </c>
      <c r="F12" s="15" t="inlineStr">
        <is>
          <t>▼</t>
        </is>
      </c>
      <c r="G12" s="16" t="n"/>
      <c r="H12" s="15" t="inlineStr">
        <is>
          <t>▼</t>
        </is>
      </c>
      <c r="I12" s="17">
        <f>IF(C12="","",D12+IF(F12="Ambil Obat",IF(G12="",0,G12),0))</f>
        <v/>
      </c>
      <c r="J12" s="12" t="n"/>
      <c r="K12" s="18" t="inlineStr">
        <is>
          <t>▼</t>
        </is>
      </c>
    </row>
    <row r="13" ht="21.75" customHeight="1" s="314">
      <c r="A13" s="6" t="n">
        <v>7</v>
      </c>
      <c r="B13" s="7" t="n">
        <v>46113</v>
      </c>
      <c r="C13" s="8" t="n"/>
      <c r="D13" s="9" t="n"/>
      <c r="E13" s="10" t="inlineStr">
        <is>
          <t>▼</t>
        </is>
      </c>
      <c r="F13" s="10" t="inlineStr">
        <is>
          <t>▼</t>
        </is>
      </c>
      <c r="G13" s="9" t="n"/>
      <c r="H13" s="10" t="inlineStr">
        <is>
          <t>▼</t>
        </is>
      </c>
      <c r="I13" s="11">
        <f>IF(C13="","",D13+IF(F13="Ambil Obat",IF(G13="",0,G13),0))</f>
        <v/>
      </c>
      <c r="J13" s="12" t="n"/>
      <c r="K13" s="13" t="inlineStr">
        <is>
          <t>▼</t>
        </is>
      </c>
    </row>
    <row r="14" ht="21.75" customHeight="1" s="314">
      <c r="A14" s="6" t="n">
        <v>8</v>
      </c>
      <c r="B14" s="7" t="n">
        <v>46113</v>
      </c>
      <c r="C14" s="14" t="n"/>
      <c r="D14" s="9" t="n"/>
      <c r="E14" s="15" t="inlineStr">
        <is>
          <t>▼</t>
        </is>
      </c>
      <c r="F14" s="15" t="inlineStr">
        <is>
          <t>▼</t>
        </is>
      </c>
      <c r="G14" s="9" t="n"/>
      <c r="H14" s="15" t="inlineStr">
        <is>
          <t>▼</t>
        </is>
      </c>
      <c r="I14" s="17">
        <f>IF(C14="","",D14+IF(F14="Ambil Obat",IF(G14="",0,G14),0))</f>
        <v/>
      </c>
      <c r="J14" s="12" t="n"/>
      <c r="K14" s="18" t="inlineStr">
        <is>
          <t>▼</t>
        </is>
      </c>
    </row>
    <row r="15" ht="21.75" customHeight="1" s="314">
      <c r="A15" s="6" t="n">
        <v>9</v>
      </c>
      <c r="B15" s="7" t="n">
        <v>46113</v>
      </c>
      <c r="C15" s="8" t="n"/>
      <c r="D15" s="9" t="n"/>
      <c r="E15" s="10" t="inlineStr">
        <is>
          <t>▼</t>
        </is>
      </c>
      <c r="F15" s="10" t="inlineStr">
        <is>
          <t>▼</t>
        </is>
      </c>
      <c r="G15" s="9" t="n"/>
      <c r="H15" s="10" t="inlineStr">
        <is>
          <t>▼</t>
        </is>
      </c>
      <c r="I15" s="11">
        <f>IF(C15="","",D15+IF(F15="Ambil Obat",IF(G15="",0,G15),0))</f>
        <v/>
      </c>
      <c r="J15" s="12" t="n"/>
      <c r="K15" s="13" t="inlineStr">
        <is>
          <t>▼</t>
        </is>
      </c>
    </row>
    <row r="16" ht="21.75" customHeight="1" s="314">
      <c r="A16" s="6" t="n">
        <v>10</v>
      </c>
      <c r="B16" s="7" t="n">
        <v>46113</v>
      </c>
      <c r="C16" s="14" t="n"/>
      <c r="D16" s="9" t="n"/>
      <c r="E16" s="15" t="inlineStr">
        <is>
          <t>▼</t>
        </is>
      </c>
      <c r="F16" s="15" t="inlineStr">
        <is>
          <t>▼</t>
        </is>
      </c>
      <c r="G16" s="16" t="n"/>
      <c r="H16" s="15" t="inlineStr">
        <is>
          <t>▼</t>
        </is>
      </c>
      <c r="I16" s="17">
        <f>IF(C16="","",D16+IF(F16="Ambil Obat",IF(G16="",0,G16),0))</f>
        <v/>
      </c>
      <c r="J16" s="12" t="n"/>
      <c r="K16" s="18" t="inlineStr">
        <is>
          <t>▼</t>
        </is>
      </c>
    </row>
    <row r="17" ht="21.75" customHeight="1" s="314">
      <c r="A17" s="6" t="n">
        <v>11</v>
      </c>
      <c r="B17" s="7" t="n">
        <v>46113</v>
      </c>
      <c r="C17" s="8" t="n"/>
      <c r="D17" s="9" t="n"/>
      <c r="E17" s="10" t="inlineStr">
        <is>
          <t>▼</t>
        </is>
      </c>
      <c r="F17" s="10" t="inlineStr">
        <is>
          <t>▼</t>
        </is>
      </c>
      <c r="G17" s="16" t="n"/>
      <c r="H17" s="10" t="inlineStr">
        <is>
          <t>▼</t>
        </is>
      </c>
      <c r="I17" s="11">
        <f>IF(C17="","",D17+IF(F17="Ambil Obat",IF(G17="",0,G17),0))</f>
        <v/>
      </c>
      <c r="J17" s="12" t="n"/>
      <c r="K17" s="13" t="inlineStr">
        <is>
          <t>▼</t>
        </is>
      </c>
    </row>
    <row r="18" ht="24" customHeight="1" s="314">
      <c r="A18" s="248">
        <f>IF(COUNTA(C7:C17)=0,"— belum ada data —","📊 Sub-total  "&amp; TEXT(B7,"DD MMM YYYY") &amp;"  ("&amp;COUNTA(C7:C17)&amp;" pasien)")</f>
        <v/>
      </c>
      <c r="B18" s="316" t="n"/>
      <c r="C18" s="316" t="n"/>
      <c r="D18" s="19">
        <f>IF(COUNTA(C7:C17)=0,"",SUM(D7:D17))</f>
        <v/>
      </c>
      <c r="E18" s="20">
        <f>IF(COUNTA(C7:C17)=0,"",SUMIF(E7:E17,"Cash",D7:D17))</f>
        <v/>
      </c>
      <c r="F18" s="21">
        <f>IF(COUNTA(C7:C17)=0,"",SUMIF(E7:E17,"Transfer Bank",D7:D17))</f>
        <v/>
      </c>
      <c r="G18" s="19">
        <f>IF(COUNTA(C7:C17)=0,"",SUMIF(F7:F17,"Ambil Obat",G7:G17))</f>
        <v/>
      </c>
      <c r="H18" s="20">
        <f>IF(COUNTA(C7:C17)=0,"",SUMIFS(G7:G17,H7:H17,"Cash",F7:F17,"Ambil Obat"))</f>
        <v/>
      </c>
      <c r="I18" s="21">
        <f>IF(COUNTA(C7:C17)=0,"",SUMIFS(G7:G17,H7:H17,"Transfer Bank",F7:F17,"Ambil Obat"))</f>
        <v/>
      </c>
      <c r="J18" s="22" t="n"/>
      <c r="K18" s="23">
        <f>IF(COUNTA(C7:C17)=0,"",D18+G18)</f>
        <v/>
      </c>
    </row>
    <row r="19" ht="24" customHeight="1" s="314">
      <c r="A19" s="249" t="inlineStr">
        <is>
          <t>📅  Kamis, 02 April 2026</t>
        </is>
      </c>
      <c r="B19" s="5" t="n"/>
      <c r="C19" s="5" t="n"/>
      <c r="D19" s="5" t="n"/>
      <c r="E19" s="5" t="n"/>
      <c r="F19" s="5" t="n"/>
      <c r="G19" s="5" t="n"/>
      <c r="H19" s="5" t="n"/>
      <c r="I19" s="5" t="n"/>
      <c r="J19" s="4" t="n"/>
      <c r="K19" s="5" t="n"/>
    </row>
    <row r="20" ht="21.75" customHeight="1" s="314">
      <c r="A20" s="6" t="n">
        <v>1</v>
      </c>
      <c r="B20" s="7" t="n">
        <v>46114</v>
      </c>
      <c r="C20" s="8" t="n"/>
      <c r="D20" s="9" t="n"/>
      <c r="E20" s="10" t="inlineStr">
        <is>
          <t>▼</t>
        </is>
      </c>
      <c r="F20" s="10" t="inlineStr">
        <is>
          <t>▼</t>
        </is>
      </c>
      <c r="G20" s="9" t="n"/>
      <c r="H20" s="10" t="inlineStr">
        <is>
          <t>▼</t>
        </is>
      </c>
      <c r="I20" s="11">
        <f>IF(C20="","",D20+IF(F20="Ambil Obat",IF(G20="",0,G20),0))</f>
        <v/>
      </c>
      <c r="J20" s="12" t="n"/>
      <c r="K20" s="13" t="inlineStr">
        <is>
          <t>▼</t>
        </is>
      </c>
    </row>
    <row r="21" ht="21.75" customHeight="1" s="314">
      <c r="A21" s="6" t="n">
        <v>2</v>
      </c>
      <c r="B21" s="7" t="n">
        <v>46114</v>
      </c>
      <c r="C21" s="14" t="n"/>
      <c r="D21" s="16" t="n"/>
      <c r="E21" s="15" t="inlineStr">
        <is>
          <t>▼</t>
        </is>
      </c>
      <c r="F21" s="15" t="inlineStr">
        <is>
          <t>▼</t>
        </is>
      </c>
      <c r="G21" s="16" t="n"/>
      <c r="H21" s="15" t="inlineStr">
        <is>
          <t>▼</t>
        </is>
      </c>
      <c r="I21" s="17">
        <f>IF(C21="","",D21+IF(F21="Ambil Obat",IF(G21="",0,G21),0))</f>
        <v/>
      </c>
      <c r="J21" s="12" t="n"/>
      <c r="K21" s="18" t="inlineStr">
        <is>
          <t>▼</t>
        </is>
      </c>
    </row>
    <row r="22" ht="21.75" customHeight="1" s="314">
      <c r="A22" s="6" t="n">
        <v>3</v>
      </c>
      <c r="B22" s="7" t="n">
        <v>46114</v>
      </c>
      <c r="C22" s="8" t="n"/>
      <c r="D22" s="9" t="n"/>
      <c r="E22" s="10" t="inlineStr">
        <is>
          <t>▼</t>
        </is>
      </c>
      <c r="F22" s="10" t="inlineStr">
        <is>
          <t>▼</t>
        </is>
      </c>
      <c r="G22" s="9" t="n"/>
      <c r="H22" s="10" t="inlineStr">
        <is>
          <t>▼</t>
        </is>
      </c>
      <c r="I22" s="11">
        <f>IF(C22="","",D22+IF(F22="Ambil Obat",IF(G22="",0,G22),0))</f>
        <v/>
      </c>
      <c r="J22" s="12" t="n"/>
      <c r="K22" s="13" t="inlineStr">
        <is>
          <t>▼</t>
        </is>
      </c>
    </row>
    <row r="23" ht="21.75" customHeight="1" s="314">
      <c r="A23" s="6" t="n">
        <v>4</v>
      </c>
      <c r="B23" s="7" t="n">
        <v>46114</v>
      </c>
      <c r="C23" s="14" t="n"/>
      <c r="D23" s="16" t="n"/>
      <c r="E23" s="15" t="inlineStr">
        <is>
          <t>▼</t>
        </is>
      </c>
      <c r="F23" s="15" t="inlineStr">
        <is>
          <t>▼</t>
        </is>
      </c>
      <c r="G23" s="16" t="n"/>
      <c r="H23" s="15" t="inlineStr">
        <is>
          <t>▼</t>
        </is>
      </c>
      <c r="I23" s="17">
        <f>IF(C23="","",D23+IF(F23="Ambil Obat",IF(G23="",0,G23),0))</f>
        <v/>
      </c>
      <c r="J23" s="12" t="n"/>
      <c r="K23" s="18" t="inlineStr">
        <is>
          <t>▼</t>
        </is>
      </c>
    </row>
    <row r="24" ht="21.75" customHeight="1" s="314">
      <c r="A24" s="6" t="n">
        <v>5</v>
      </c>
      <c r="B24" s="7" t="n">
        <v>46114</v>
      </c>
      <c r="C24" s="8" t="n"/>
      <c r="D24" s="9" t="n"/>
      <c r="E24" s="10" t="inlineStr">
        <is>
          <t>▼</t>
        </is>
      </c>
      <c r="F24" s="10" t="inlineStr">
        <is>
          <t>▼</t>
        </is>
      </c>
      <c r="G24" s="9" t="n"/>
      <c r="H24" s="10" t="inlineStr">
        <is>
          <t>▼</t>
        </is>
      </c>
      <c r="I24" s="11">
        <f>IF(C24="","",D24+IF(F24="Ambil Obat",IF(G24="",0,G24),0))</f>
        <v/>
      </c>
      <c r="J24" s="12" t="n"/>
      <c r="K24" s="13" t="inlineStr">
        <is>
          <t>▼</t>
        </is>
      </c>
    </row>
    <row r="25" ht="21.75" customHeight="1" s="314">
      <c r="A25" s="6" t="n">
        <v>6</v>
      </c>
      <c r="B25" s="7" t="n">
        <v>46114</v>
      </c>
      <c r="C25" s="14" t="n"/>
      <c r="D25" s="9" t="n"/>
      <c r="E25" s="15" t="inlineStr">
        <is>
          <t>▼</t>
        </is>
      </c>
      <c r="F25" s="15" t="inlineStr">
        <is>
          <t>▼</t>
        </is>
      </c>
      <c r="G25" s="16" t="n"/>
      <c r="H25" s="15" t="inlineStr">
        <is>
          <t>▼</t>
        </is>
      </c>
      <c r="I25" s="17">
        <f>IF(C25="","",D25+IF(F25="Ambil Obat",IF(G25="",0,G25),0))</f>
        <v/>
      </c>
      <c r="J25" s="12" t="n"/>
      <c r="K25" s="18" t="inlineStr">
        <is>
          <t>▼</t>
        </is>
      </c>
    </row>
    <row r="26" ht="21.75" customHeight="1" s="314">
      <c r="A26" s="6" t="n">
        <v>7</v>
      </c>
      <c r="B26" s="7" t="n">
        <v>46114</v>
      </c>
      <c r="C26" s="8" t="n"/>
      <c r="D26" s="9" t="n"/>
      <c r="E26" s="10" t="inlineStr">
        <is>
          <t>▼</t>
        </is>
      </c>
      <c r="F26" s="10" t="inlineStr">
        <is>
          <t>▼</t>
        </is>
      </c>
      <c r="G26" s="9" t="n"/>
      <c r="H26" s="10" t="inlineStr">
        <is>
          <t>▼</t>
        </is>
      </c>
      <c r="I26" s="11">
        <f>IF(C26="","",D26+IF(F26="Ambil Obat",IF(G26="",0,G26),0))</f>
        <v/>
      </c>
      <c r="J26" s="12" t="n"/>
      <c r="K26" s="13" t="inlineStr">
        <is>
          <t>▼</t>
        </is>
      </c>
    </row>
    <row r="27" ht="24" customHeight="1" s="314">
      <c r="A27" s="248">
        <f>IF(COUNTA(C20:C26)=0,"— belum ada data —","📊 Sub-total  "&amp; TEXT(B20,"DD MMM YYYY") &amp;"  ("&amp;COUNTA(C20:C26)&amp;" pasien)")</f>
        <v/>
      </c>
      <c r="B27" s="316" t="n"/>
      <c r="C27" s="316" t="n"/>
      <c r="D27" s="19">
        <f>IF(COUNTA(C20:C26)=0,"",SUM(D20:D26))</f>
        <v/>
      </c>
      <c r="E27" s="20">
        <f>IF(COUNTA(C20:C26)=0,"",SUMIF(E20:E26,"Cash",D20:D26))</f>
        <v/>
      </c>
      <c r="F27" s="21">
        <f>IF(COUNTA(C20:C26)=0,"",SUMIF(E20:E26,"Transfer Bank",D20:D26))</f>
        <v/>
      </c>
      <c r="G27" s="19">
        <f>IF(COUNTA(C20:C26)=0,"",SUMIF(F20:F26,"Ambil Obat",G20:G26))</f>
        <v/>
      </c>
      <c r="H27" s="20">
        <f>IF(COUNTA(C20:C26)=0,"",SUMIFS(G20:G26,H20:H26,"Cash",F20:F26,"Ambil Obat"))</f>
        <v/>
      </c>
      <c r="I27" s="21">
        <f>IF(COUNTA(C20:C26)=0,"",SUMIFS(G20:G26,H20:H26,"Transfer Bank",F20:F26,"Ambil Obat"))</f>
        <v/>
      </c>
      <c r="J27" s="22" t="n"/>
      <c r="K27" s="23">
        <f>IF(COUNTA(C20:C26)=0,"",D27+G27)</f>
        <v/>
      </c>
    </row>
    <row r="28" ht="24" customHeight="1" s="314">
      <c r="A28" s="249" t="inlineStr">
        <is>
          <t>📅  Jumat, 03 April 2026</t>
        </is>
      </c>
      <c r="B28" s="5" t="n"/>
      <c r="C28" s="5" t="n"/>
      <c r="D28" s="5" t="n"/>
      <c r="E28" s="5" t="n"/>
      <c r="F28" s="5" t="n"/>
      <c r="G28" s="5" t="n"/>
      <c r="H28" s="5" t="n"/>
      <c r="I28" s="5" t="n"/>
      <c r="J28" s="4" t="n"/>
      <c r="K28" s="5" t="n"/>
    </row>
    <row r="29" ht="21.75" customHeight="1" s="314">
      <c r="A29" s="6" t="n">
        <v>1</v>
      </c>
      <c r="B29" s="7" t="n">
        <v>46115</v>
      </c>
      <c r="C29" s="8" t="n"/>
      <c r="D29" s="16" t="n"/>
      <c r="E29" s="10" t="inlineStr">
        <is>
          <t>▼</t>
        </is>
      </c>
      <c r="F29" s="10" t="inlineStr">
        <is>
          <t>▼</t>
        </is>
      </c>
      <c r="G29" s="9" t="n"/>
      <c r="H29" s="10" t="inlineStr">
        <is>
          <t>▼</t>
        </is>
      </c>
      <c r="I29" s="11">
        <f>IF(C29="","",D29+IF(F29="Ambil Obat",IF(G29="",0,G29),0))</f>
        <v/>
      </c>
      <c r="J29" s="12" t="n"/>
      <c r="K29" s="13" t="inlineStr">
        <is>
          <t>▼</t>
        </is>
      </c>
    </row>
    <row r="30" ht="21.75" customHeight="1" s="314">
      <c r="A30" s="6" t="n">
        <v>2</v>
      </c>
      <c r="B30" s="7" t="n">
        <v>46115</v>
      </c>
      <c r="C30" s="14" t="n"/>
      <c r="D30" s="16" t="n"/>
      <c r="E30" s="15" t="inlineStr">
        <is>
          <t>▼</t>
        </is>
      </c>
      <c r="F30" s="15" t="inlineStr">
        <is>
          <t>▼</t>
        </is>
      </c>
      <c r="G30" s="16" t="n"/>
      <c r="H30" s="15" t="inlineStr">
        <is>
          <t>▼</t>
        </is>
      </c>
      <c r="I30" s="17">
        <f>IF(C30="","",D30+IF(F30="Ambil Obat",IF(G30="",0,G30),0))</f>
        <v/>
      </c>
      <c r="J30" s="12" t="n"/>
      <c r="K30" s="18" t="inlineStr">
        <is>
          <t>▼</t>
        </is>
      </c>
    </row>
    <row r="31" ht="21.75" customHeight="1" s="314">
      <c r="A31" s="6" t="n">
        <v>3</v>
      </c>
      <c r="B31" s="7" t="n">
        <v>46115</v>
      </c>
      <c r="C31" s="8" t="n"/>
      <c r="D31" s="9" t="n"/>
      <c r="E31" s="10" t="inlineStr">
        <is>
          <t>▼</t>
        </is>
      </c>
      <c r="F31" s="10" t="inlineStr">
        <is>
          <t>▼</t>
        </is>
      </c>
      <c r="G31" s="9" t="n"/>
      <c r="H31" s="10" t="inlineStr">
        <is>
          <t>▼</t>
        </is>
      </c>
      <c r="I31" s="11">
        <f>IF(C31="","",D31+IF(F31="Ambil Obat",IF(G31="",0,G31),0))</f>
        <v/>
      </c>
      <c r="J31" s="12" t="n"/>
      <c r="K31" s="13" t="inlineStr">
        <is>
          <t>▼</t>
        </is>
      </c>
    </row>
    <row r="32" ht="21.75" customHeight="1" s="314">
      <c r="A32" s="6" t="n">
        <v>4</v>
      </c>
      <c r="B32" s="7" t="n">
        <v>46115</v>
      </c>
      <c r="C32" s="14" t="n"/>
      <c r="D32" s="9" t="n"/>
      <c r="E32" s="15" t="inlineStr">
        <is>
          <t>▼</t>
        </is>
      </c>
      <c r="F32" s="15" t="inlineStr">
        <is>
          <t>▼</t>
        </is>
      </c>
      <c r="G32" s="16" t="n"/>
      <c r="H32" s="15" t="inlineStr">
        <is>
          <t>▼</t>
        </is>
      </c>
      <c r="I32" s="17">
        <f>IF(C32="","",D32+IF(F32="Ambil Obat",IF(G32="",0,G32),0))</f>
        <v/>
      </c>
      <c r="J32" s="12" t="n"/>
      <c r="K32" s="18" t="inlineStr">
        <is>
          <t>▼</t>
        </is>
      </c>
    </row>
    <row r="33" ht="21.75" customHeight="1" s="314">
      <c r="A33" s="6" t="n">
        <v>5</v>
      </c>
      <c r="B33" s="7" t="n">
        <v>46115</v>
      </c>
      <c r="C33" s="8" t="n"/>
      <c r="D33" s="9" t="n"/>
      <c r="E33" s="10" t="inlineStr">
        <is>
          <t>▼</t>
        </is>
      </c>
      <c r="F33" s="10" t="inlineStr">
        <is>
          <t>▼</t>
        </is>
      </c>
      <c r="G33" s="9" t="n"/>
      <c r="H33" s="10" t="inlineStr">
        <is>
          <t>▼</t>
        </is>
      </c>
      <c r="I33" s="11">
        <f>IF(C33="","",D33+IF(F33="Ambil Obat",IF(G33="",0,G33),0))</f>
        <v/>
      </c>
      <c r="J33" s="12" t="n"/>
      <c r="K33" s="13" t="inlineStr">
        <is>
          <t>▼</t>
        </is>
      </c>
    </row>
    <row r="34" ht="21.75" customHeight="1" s="314">
      <c r="A34" s="6" t="n">
        <v>6</v>
      </c>
      <c r="B34" s="7" t="n">
        <v>46115</v>
      </c>
      <c r="C34" s="14" t="n"/>
      <c r="D34" s="16" t="n"/>
      <c r="E34" s="15" t="inlineStr">
        <is>
          <t>▼</t>
        </is>
      </c>
      <c r="F34" s="15" t="inlineStr">
        <is>
          <t>▼</t>
        </is>
      </c>
      <c r="G34" s="9" t="n"/>
      <c r="H34" s="15" t="inlineStr">
        <is>
          <t>▼</t>
        </is>
      </c>
      <c r="I34" s="17">
        <f>IF(C34="","",D34+IF(F34="Ambil Obat",IF(G34="",0,G34),0))</f>
        <v/>
      </c>
      <c r="J34" s="12" t="n"/>
      <c r="K34" s="18" t="inlineStr">
        <is>
          <t>▼</t>
        </is>
      </c>
    </row>
    <row r="35" ht="21.75" customHeight="1" s="314">
      <c r="A35" s="6" t="n">
        <v>7</v>
      </c>
      <c r="B35" s="7" t="n">
        <v>46115</v>
      </c>
      <c r="C35" s="8" t="n"/>
      <c r="D35" s="9" t="n"/>
      <c r="E35" s="10" t="inlineStr">
        <is>
          <t>▼</t>
        </is>
      </c>
      <c r="F35" s="10" t="inlineStr">
        <is>
          <t>▼</t>
        </is>
      </c>
      <c r="G35" s="9" t="n"/>
      <c r="H35" s="10" t="inlineStr">
        <is>
          <t>▼</t>
        </is>
      </c>
      <c r="I35" s="11">
        <f>IF(C35="","",D35+IF(F35="Ambil Obat",IF(G35="",0,G35),0))</f>
        <v/>
      </c>
      <c r="J35" s="12" t="n"/>
      <c r="K35" s="13" t="inlineStr">
        <is>
          <t>▼</t>
        </is>
      </c>
    </row>
    <row r="36" ht="21.75" customHeight="1" s="314">
      <c r="A36" s="32">
        <f>IF(C36="","",38)</f>
        <v/>
      </c>
      <c r="B36" s="7" t="n">
        <v>46115</v>
      </c>
      <c r="C36" s="14" t="inlineStr">
        <is>
          <t>SITI H</t>
        </is>
      </c>
      <c r="D36" s="16" t="n">
        <v>300000</v>
      </c>
      <c r="E36" s="15" t="inlineStr">
        <is>
          <t>Transfer Bank</t>
        </is>
      </c>
      <c r="F36" s="15" t="inlineStr">
        <is>
          <t>Ambil Obat</t>
        </is>
      </c>
      <c r="G36" s="16" t="n">
        <v>20000</v>
      </c>
      <c r="H36" s="15" t="inlineStr">
        <is>
          <t>Transfer Bank</t>
        </is>
      </c>
      <c r="I36" s="17">
        <f>IF(C36="","",D36+IF(F36="Ambil Obat",IF(G36="",0,G36),0))</f>
        <v/>
      </c>
      <c r="J36" s="12" t="n"/>
      <c r="K36" s="18" t="inlineStr">
        <is>
          <t>▼</t>
        </is>
      </c>
    </row>
    <row r="37" ht="21.75" customHeight="1" s="314">
      <c r="A37" s="6">
        <f>IF(C37="","",39)</f>
        <v/>
      </c>
      <c r="B37" s="7" t="n">
        <v>46115</v>
      </c>
      <c r="C37" s="8" t="inlineStr">
        <is>
          <t>ZHAFIRA</t>
        </is>
      </c>
      <c r="D37" s="9" t="n">
        <v>250000</v>
      </c>
      <c r="E37" s="10" t="inlineStr">
        <is>
          <t>Cash</t>
        </is>
      </c>
      <c r="F37" s="10" t="inlineStr">
        <is>
          <t>Ambil Obat</t>
        </is>
      </c>
      <c r="G37" s="9" t="n">
        <v>140000</v>
      </c>
      <c r="H37" s="10" t="inlineStr">
        <is>
          <t>Cash</t>
        </is>
      </c>
      <c r="I37" s="11">
        <f>IF(C37="","",D37+IF(F37="Ambil Obat",IF(G37="",0,G37),0))</f>
        <v/>
      </c>
      <c r="J37" s="12" t="n"/>
      <c r="K37" s="13" t="inlineStr">
        <is>
          <t>▼</t>
        </is>
      </c>
    </row>
    <row r="38" ht="21.75" customHeight="1" s="314">
      <c r="A38" s="32">
        <f>IF(C38="","",40)</f>
        <v/>
      </c>
      <c r="B38" s="7" t="n">
        <v>46115</v>
      </c>
      <c r="C38" s="14" t="inlineStr">
        <is>
          <t>FAIZ A</t>
        </is>
      </c>
      <c r="D38" s="16" t="n">
        <v>300000</v>
      </c>
      <c r="E38" s="15" t="inlineStr">
        <is>
          <t>Cash</t>
        </is>
      </c>
      <c r="F38" s="15" t="inlineStr">
        <is>
          <t>▼</t>
        </is>
      </c>
      <c r="G38" s="16" t="n"/>
      <c r="H38" s="15" t="inlineStr">
        <is>
          <t>▼</t>
        </is>
      </c>
      <c r="I38" s="17">
        <f>IF(C38="","",D38+IF(F38="Ambil Obat",IF(G38="",0,G38),0))</f>
        <v/>
      </c>
      <c r="J38" s="12" t="n"/>
      <c r="K38" s="18" t="inlineStr">
        <is>
          <t>▼</t>
        </is>
      </c>
    </row>
    <row r="39" ht="21.75" customHeight="1" s="314">
      <c r="A39" s="6">
        <f>IF(C39="","",41)</f>
        <v/>
      </c>
      <c r="B39" s="7" t="n">
        <v>46115</v>
      </c>
      <c r="C39" s="8" t="inlineStr">
        <is>
          <t>PUTRA A</t>
        </is>
      </c>
      <c r="D39" s="16" t="n">
        <v>300000</v>
      </c>
      <c r="E39" s="10" t="inlineStr">
        <is>
          <t>Cash</t>
        </is>
      </c>
      <c r="F39" s="10" t="inlineStr">
        <is>
          <t>▼</t>
        </is>
      </c>
      <c r="G39" s="9" t="n"/>
      <c r="H39" s="10" t="inlineStr">
        <is>
          <t>▼</t>
        </is>
      </c>
      <c r="I39" s="11">
        <f>IF(C39="","",D39+IF(F39="Ambil Obat",IF(G39="",0,G39),0))</f>
        <v/>
      </c>
      <c r="J39" s="12" t="n"/>
      <c r="K39" s="13" t="inlineStr">
        <is>
          <t>▼</t>
        </is>
      </c>
    </row>
    <row r="40" ht="24" customHeight="1" s="314">
      <c r="A40" s="248">
        <f>IF(COUNTA(C29:C39)=0,"— belum ada data —","📊 Sub-total  "&amp; TEXT(B29,"DD MMM YYYY") &amp;"  ("&amp;COUNTA(C29:C39)&amp;" pasien)")</f>
        <v/>
      </c>
      <c r="B40" s="316" t="n"/>
      <c r="C40" s="316" t="n"/>
      <c r="D40" s="19">
        <f>IF(COUNTA(C29:C39)=0,"",SUM(D29:D39))</f>
        <v/>
      </c>
      <c r="E40" s="20">
        <f>IF(COUNTA(C29:C39)=0,"",SUMIF(E29:E39,"Cash",D29:D39))</f>
        <v/>
      </c>
      <c r="F40" s="21">
        <f>IF(COUNTA(C29:C39)=0,"",SUMIF(E29:E39,"Transfer Bank",D29:D39))</f>
        <v/>
      </c>
      <c r="G40" s="19">
        <f>IF(COUNTA(C29:C39)=0,"",SUMIF(F29:F39,"Ambil Obat",G29:G39))</f>
        <v/>
      </c>
      <c r="H40" s="20">
        <f>IF(COUNTA(C29:C39)=0,"",SUMIFS(G29:G39,H29:H39,"Cash",F29:F39,"Ambil Obat"))</f>
        <v/>
      </c>
      <c r="I40" s="21">
        <f>IF(COUNTA(C29:C39)=0,"",SUMIFS(G29:G39,H29:H39,"Transfer Bank",F29:F39,"Ambil Obat"))</f>
        <v/>
      </c>
      <c r="J40" s="22" t="n"/>
      <c r="K40" s="23">
        <f>IF(COUNTA(C29:C39)=0,"",D40+G40)</f>
        <v/>
      </c>
    </row>
    <row r="41" ht="24" customHeight="1" s="314">
      <c r="A41" s="249" t="inlineStr">
        <is>
          <t>📅  Sabtu, 04 April 2026</t>
        </is>
      </c>
      <c r="B41" s="5" t="n"/>
      <c r="C41" s="5" t="n"/>
      <c r="D41" s="5" t="n"/>
      <c r="E41" s="5" t="n"/>
      <c r="F41" s="5" t="n"/>
      <c r="G41" s="5" t="n"/>
      <c r="H41" s="5" t="n"/>
      <c r="I41" s="5" t="n"/>
      <c r="J41" s="4" t="n"/>
      <c r="K41" s="5" t="n"/>
    </row>
    <row r="42" ht="21.75" customHeight="1" s="314">
      <c r="A42" s="6" t="n">
        <v>1</v>
      </c>
      <c r="B42" s="7" t="n">
        <v>46116</v>
      </c>
      <c r="C42" s="8" t="n"/>
      <c r="D42" s="9" t="n"/>
      <c r="E42" s="10" t="inlineStr">
        <is>
          <t>▼</t>
        </is>
      </c>
      <c r="F42" s="10" t="inlineStr">
        <is>
          <t>▼</t>
        </is>
      </c>
      <c r="G42" s="9" t="n"/>
      <c r="H42" s="10" t="inlineStr">
        <is>
          <t>▼</t>
        </is>
      </c>
      <c r="I42" s="11">
        <f>IF(C42="","",D42+IF(F42="Ambil Obat",IF(G42="",0,G42),0))</f>
        <v/>
      </c>
      <c r="J42" s="12" t="n"/>
      <c r="K42" s="13" t="inlineStr">
        <is>
          <t>▼</t>
        </is>
      </c>
    </row>
    <row r="43" ht="21.75" customHeight="1" s="314">
      <c r="A43" s="6" t="n">
        <v>2</v>
      </c>
      <c r="B43" s="7" t="n">
        <v>46116</v>
      </c>
      <c r="C43" s="14" t="n"/>
      <c r="D43" s="9" t="n"/>
      <c r="E43" s="15" t="inlineStr">
        <is>
          <t>▼</t>
        </is>
      </c>
      <c r="F43" s="15" t="inlineStr">
        <is>
          <t>▼</t>
        </is>
      </c>
      <c r="G43" s="16" t="n"/>
      <c r="H43" s="15" t="inlineStr">
        <is>
          <t>▼</t>
        </is>
      </c>
      <c r="I43" s="17">
        <f>IF(C43="","",D43+IF(F43="Ambil Obat",IF(G43="",0,G43),0))</f>
        <v/>
      </c>
      <c r="J43" s="12" t="n"/>
      <c r="K43" s="18" t="inlineStr">
        <is>
          <t>▼</t>
        </is>
      </c>
    </row>
    <row r="44" ht="21.75" customHeight="1" s="314">
      <c r="A44" s="6" t="n">
        <v>3</v>
      </c>
      <c r="B44" s="7" t="n">
        <v>46116</v>
      </c>
      <c r="C44" s="8" t="n"/>
      <c r="D44" s="9" t="n"/>
      <c r="E44" s="10" t="inlineStr">
        <is>
          <t>▼</t>
        </is>
      </c>
      <c r="F44" s="10" t="inlineStr">
        <is>
          <t>▼</t>
        </is>
      </c>
      <c r="G44" s="9" t="n"/>
      <c r="H44" s="10" t="inlineStr">
        <is>
          <t>▼</t>
        </is>
      </c>
      <c r="I44" s="11">
        <f>IF(C44="","",D44+IF(F44="Ambil Obat",IF(G44="",0,G44),0))</f>
        <v/>
      </c>
      <c r="J44" s="12" t="n"/>
      <c r="K44" s="13" t="inlineStr">
        <is>
          <t>▼</t>
        </is>
      </c>
    </row>
    <row r="45" ht="21.75" customHeight="1" s="314">
      <c r="A45" s="6" t="n">
        <v>4</v>
      </c>
      <c r="B45" s="7" t="n">
        <v>46116</v>
      </c>
      <c r="C45" s="14" t="n"/>
      <c r="D45" s="16" t="n"/>
      <c r="E45" s="15" t="inlineStr">
        <is>
          <t>▼</t>
        </is>
      </c>
      <c r="F45" s="15" t="inlineStr">
        <is>
          <t>▼</t>
        </is>
      </c>
      <c r="G45" s="16" t="n"/>
      <c r="H45" s="15" t="inlineStr">
        <is>
          <t>▼</t>
        </is>
      </c>
      <c r="I45" s="17">
        <f>IF(C45="","",D45+IF(F45="Ambil Obat",IF(G45="",0,G45),0))</f>
        <v/>
      </c>
      <c r="J45" s="12" t="n"/>
      <c r="K45" s="18" t="inlineStr">
        <is>
          <t>▼</t>
        </is>
      </c>
    </row>
    <row r="46" ht="21.75" customHeight="1" s="314">
      <c r="A46" s="6" t="n">
        <v>5</v>
      </c>
      <c r="B46" s="7" t="n">
        <v>46116</v>
      </c>
      <c r="C46" s="8" t="n"/>
      <c r="D46" s="16" t="n"/>
      <c r="E46" s="10" t="inlineStr">
        <is>
          <t>▼</t>
        </is>
      </c>
      <c r="F46" s="10" t="inlineStr">
        <is>
          <t>▼</t>
        </is>
      </c>
      <c r="G46" s="9" t="n"/>
      <c r="H46" s="10" t="inlineStr">
        <is>
          <t>▼</t>
        </is>
      </c>
      <c r="I46" s="11">
        <f>IF(C46="","",D46+IF(F46="Ambil Obat",IF(G46="",0,G46),0))</f>
        <v/>
      </c>
      <c r="J46" s="12" t="n"/>
      <c r="K46" s="13" t="inlineStr">
        <is>
          <t>▼</t>
        </is>
      </c>
    </row>
    <row r="47" ht="21.75" customHeight="1" s="314">
      <c r="A47" s="6" t="n">
        <v>6</v>
      </c>
      <c r="B47" s="7" t="n">
        <v>46116</v>
      </c>
      <c r="C47" s="14" t="n"/>
      <c r="D47" s="16" t="n"/>
      <c r="E47" s="15" t="inlineStr">
        <is>
          <t>▼</t>
        </is>
      </c>
      <c r="F47" s="15" t="inlineStr">
        <is>
          <t>▼</t>
        </is>
      </c>
      <c r="G47" s="16" t="n"/>
      <c r="H47" s="15" t="inlineStr">
        <is>
          <t>▼</t>
        </is>
      </c>
      <c r="I47" s="17">
        <f>IF(C47="","",D47+IF(F47="Ambil Obat",IF(G47="",0,G47),0))</f>
        <v/>
      </c>
      <c r="J47" s="12" t="n"/>
      <c r="K47" s="18" t="inlineStr">
        <is>
          <t>▼</t>
        </is>
      </c>
    </row>
    <row r="48" ht="24" customHeight="1" s="314">
      <c r="A48" s="248">
        <f>IF(COUNTA(C42:C47)=0,"— belum ada data —","📊 Sub-total  "&amp; TEXT(B42,"DD MMM YYYY") &amp;"  ("&amp;COUNTA(C42:C47)&amp;" pasien)")</f>
        <v/>
      </c>
      <c r="B48" s="316" t="n"/>
      <c r="C48" s="316" t="n"/>
      <c r="D48" s="19">
        <f>IF(COUNTA(C42:C47)=0,"",SUM(D42:D47))</f>
        <v/>
      </c>
      <c r="E48" s="20">
        <f>IF(COUNTA(C42:C47)=0,"",SUMIF(E42:E47,"Cash",D42:D47))</f>
        <v/>
      </c>
      <c r="F48" s="21">
        <f>IF(COUNTA(C42:C47)=0,"",SUMIF(E42:E47,"Transfer Bank",D42:D47))</f>
        <v/>
      </c>
      <c r="G48" s="19">
        <f>IF(COUNTA(C42:C47)=0,"",SUMIF(F42:F47,"Ambil Obat",G42:G47))</f>
        <v/>
      </c>
      <c r="H48" s="20">
        <f>IF(COUNTA(C42:C47)=0,"",SUMIFS(G42:G47,H42:H47,"Cash",F42:F47,"Ambil Obat"))</f>
        <v/>
      </c>
      <c r="I48" s="21">
        <f>IF(COUNTA(C42:C47)=0,"",SUMIFS(G42:G47,H42:H47,"Transfer Bank",F42:F47,"Ambil Obat"))</f>
        <v/>
      </c>
      <c r="J48" s="22" t="n"/>
      <c r="K48" s="23">
        <f>IF(COUNTA(C42:C47)=0,"",D48+G48)</f>
        <v/>
      </c>
    </row>
    <row r="49" ht="24" customHeight="1" s="314">
      <c r="A49" s="249" t="inlineStr">
        <is>
          <t>📅  Minggu, 05 April 2026</t>
        </is>
      </c>
      <c r="B49" s="5" t="n"/>
      <c r="C49" s="5" t="n"/>
      <c r="D49" s="5" t="n"/>
      <c r="E49" s="5" t="n"/>
      <c r="F49" s="5" t="n"/>
      <c r="G49" s="5" t="n"/>
      <c r="H49" s="5" t="n"/>
      <c r="I49" s="5" t="n"/>
      <c r="J49" s="4" t="n"/>
      <c r="K49" s="5" t="n"/>
    </row>
    <row r="50" ht="21.75" customHeight="1" s="314">
      <c r="A50" s="6" t="n">
        <v>1</v>
      </c>
      <c r="B50" s="7" t="n">
        <v>46117</v>
      </c>
      <c r="C50" s="8" t="n"/>
      <c r="D50" s="9" t="n"/>
      <c r="E50" s="10" t="inlineStr">
        <is>
          <t>▼</t>
        </is>
      </c>
      <c r="F50" s="10" t="inlineStr">
        <is>
          <t>▼</t>
        </is>
      </c>
      <c r="G50" s="9" t="n"/>
      <c r="H50" s="10" t="inlineStr">
        <is>
          <t>▼</t>
        </is>
      </c>
      <c r="I50" s="11" t="n">
        <v>0</v>
      </c>
      <c r="J50" s="12" t="n"/>
      <c r="K50" s="13" t="inlineStr">
        <is>
          <t>▼</t>
        </is>
      </c>
    </row>
    <row r="51" ht="24" customHeight="1" s="314">
      <c r="A51" s="248">
        <f>IF(COUNTA(C50:C50)=0,"— belum ada data —","📊 Sub-total  "&amp; TEXT(B50,"DD MMM YYYY") &amp;"  ("&amp;COUNTA(C50:C50)&amp;" pasien)")</f>
        <v/>
      </c>
      <c r="B51" s="316" t="n"/>
      <c r="C51" s="316" t="n"/>
      <c r="D51" s="19">
        <f>IF(COUNTA(C50:C50)=0,"",SUM(D50:D50))</f>
        <v/>
      </c>
      <c r="E51" s="20">
        <f>IF(COUNTA(C50:C50)=0,"",SUMIF(E50:E50,"Cash",D50:D50))</f>
        <v/>
      </c>
      <c r="F51" s="21">
        <f>IF(COUNTA(C50:C50)=0,"",SUMIF(E50:E50,"Transfer Bank",D50:D50))</f>
        <v/>
      </c>
      <c r="G51" s="19">
        <f>IF(COUNTA(C50:C50)=0,"",SUMIF(F50:F50,"Ambil Obat",G50:G50))</f>
        <v/>
      </c>
      <c r="H51" s="20">
        <f>IF(COUNTA(C50:C50)=0,"",SUMIFS(G50:G50,H50:H50,"Cash",F50:F50,"Ambil Obat"))</f>
        <v/>
      </c>
      <c r="I51" s="21">
        <f>IF(COUNTA(C50:C50)=0,"",SUMIFS(G50:G50,H50:H50,"Transfer Bank",F50:F50,"Ambil Obat"))</f>
        <v/>
      </c>
      <c r="J51" s="22" t="n"/>
      <c r="K51" s="23">
        <f>IF(COUNTA(C50:C50)=0,"",D51+G51)</f>
        <v/>
      </c>
    </row>
    <row r="52" ht="24" customHeight="1" s="314">
      <c r="A52" s="249" t="inlineStr">
        <is>
          <t>📅  Senin, 06 April 2026</t>
        </is>
      </c>
      <c r="B52" s="5" t="n"/>
      <c r="C52" s="5" t="n"/>
      <c r="D52" s="5" t="n"/>
      <c r="E52" s="5" t="n"/>
      <c r="F52" s="5" t="n"/>
      <c r="G52" s="5" t="n"/>
      <c r="H52" s="5" t="n"/>
      <c r="I52" s="5" t="n"/>
      <c r="J52" s="4" t="n"/>
      <c r="K52" s="5" t="n"/>
    </row>
    <row r="53" ht="21.75" customHeight="1" s="314">
      <c r="A53" s="6">
        <f>IF(C53="","",76)</f>
        <v/>
      </c>
      <c r="B53" s="7" t="n">
        <v>46118</v>
      </c>
      <c r="C53" s="8" t="n"/>
      <c r="D53" s="9" t="n">
        <v>0</v>
      </c>
      <c r="E53" s="10" t="inlineStr">
        <is>
          <t>▼</t>
        </is>
      </c>
      <c r="F53" s="10" t="inlineStr">
        <is>
          <t>▼</t>
        </is>
      </c>
      <c r="G53" s="9" t="n">
        <v>0</v>
      </c>
      <c r="H53" s="10" t="inlineStr">
        <is>
          <t>▼</t>
        </is>
      </c>
      <c r="I53" s="9" t="n">
        <v>0</v>
      </c>
      <c r="J53" s="12" t="n"/>
      <c r="K53" s="13" t="inlineStr">
        <is>
          <t>▼</t>
        </is>
      </c>
    </row>
    <row r="54" ht="24" customHeight="1" s="314">
      <c r="A54" s="248">
        <f>IF(COUNTA(C53:C53)=0,"— belum ada data —","📊 Sub-total  "&amp; TEXT(B53,"DD MMM YYYY") &amp;"  ("&amp;COUNTA(C53:C53)&amp;" pasien)")</f>
        <v/>
      </c>
      <c r="B54" s="316" t="n"/>
      <c r="C54" s="316" t="n"/>
      <c r="D54" s="19">
        <f>IF(COUNTA(C53:C53)=0,"",SUM(D53:D53))</f>
        <v/>
      </c>
      <c r="E54" s="20">
        <f>IF(COUNTA(C53:C53)=0,"",SUMIF(E53:E53,"Cash",D53:D53))</f>
        <v/>
      </c>
      <c r="F54" s="21">
        <f>IF(COUNTA(C53:C53)=0,"",SUMIF(E53:E53,"Transfer Bank",D53:D53))</f>
        <v/>
      </c>
      <c r="G54" s="19">
        <f>IF(COUNTA(C53:C53)=0,"",SUMIF(F53:F53,"Ambil Obat",G53:G53))</f>
        <v/>
      </c>
      <c r="H54" s="20">
        <f>IF(COUNTA(C53:C53)=0,"",SUMIFS(G53:G53,H53:H53,"Cash",F53:F53,"Ambil Obat"))</f>
        <v/>
      </c>
      <c r="I54" s="21">
        <f>IF(COUNTA(C53:C53)=0,"",SUMIFS(G53:G53,H53:H53,"Transfer Bank",F53:F53,"Ambil Obat"))</f>
        <v/>
      </c>
      <c r="J54" s="22" t="n"/>
      <c r="K54" s="23">
        <f>IF(COUNTA(C53:C53)=0,"",D54+G54)</f>
        <v/>
      </c>
    </row>
    <row r="55" ht="24" customHeight="1" s="314">
      <c r="A55" s="249" t="inlineStr">
        <is>
          <t>📅  Selasa, 07 April 2026</t>
        </is>
      </c>
      <c r="B55" s="5" t="n"/>
      <c r="C55" s="5" t="n"/>
      <c r="D55" s="5" t="n"/>
      <c r="E55" s="5" t="n"/>
      <c r="F55" s="5" t="n"/>
      <c r="G55" s="5" t="n"/>
      <c r="H55" s="5" t="n"/>
      <c r="I55" s="5" t="n"/>
      <c r="J55" s="4" t="n"/>
      <c r="K55" s="5" t="n"/>
    </row>
    <row r="56" ht="21.75" customHeight="1" s="314">
      <c r="A56" s="6">
        <f>IF(C56="","",91)</f>
        <v/>
      </c>
      <c r="B56" s="7" t="n">
        <v>46119</v>
      </c>
      <c r="C56" s="8" t="n"/>
      <c r="D56" s="9" t="n">
        <v>0</v>
      </c>
      <c r="E56" s="10" t="inlineStr">
        <is>
          <t>▼</t>
        </is>
      </c>
      <c r="F56" s="10" t="inlineStr">
        <is>
          <t>▼</t>
        </is>
      </c>
      <c r="G56" s="9" t="n">
        <v>0</v>
      </c>
      <c r="H56" s="10" t="inlineStr">
        <is>
          <t>▼</t>
        </is>
      </c>
      <c r="I56" s="9" t="n">
        <v>0</v>
      </c>
      <c r="J56" s="12" t="n"/>
      <c r="K56" s="13" t="inlineStr">
        <is>
          <t>▼</t>
        </is>
      </c>
    </row>
    <row r="57" ht="24" customHeight="1" s="314">
      <c r="A57" s="248">
        <f>IF(COUNTA(C56:C56)=0,"— belum ada data —","📊 Sub-total  "&amp; TEXT(B56,"DD MMM YYYY") &amp;"  ("&amp;COUNTA(C56:C56)&amp;" pasien)")</f>
        <v/>
      </c>
      <c r="B57" s="316" t="n"/>
      <c r="C57" s="316" t="n"/>
      <c r="D57" s="19">
        <f>IF(COUNTA(C56:C56)=0,"",SUM(D56:D56))</f>
        <v/>
      </c>
      <c r="E57" s="20">
        <f>IF(COUNTA(C56:C56)=0,"",SUMIF(E56:E56,"Cash",D56:D56))</f>
        <v/>
      </c>
      <c r="F57" s="21">
        <f>IF(COUNTA(C56:C56)=0,"",SUMIF(E56:E56,"Transfer Bank",D56:D56))</f>
        <v/>
      </c>
      <c r="G57" s="19">
        <f>IF(COUNTA(C56:C56)=0,"",SUMIF(F56:F56,"Ambil Obat",G56:G56))</f>
        <v/>
      </c>
      <c r="H57" s="20">
        <f>IF(COUNTA(C56:C56)=0,"",SUMIFS(G56:G56,H56:H56,"Cash",F56:F56,"Ambil Obat"))</f>
        <v/>
      </c>
      <c r="I57" s="21">
        <f>IF(COUNTA(C56:C56)=0,"",SUMIFS(G56:G56,H56:H56,"Transfer Bank",F56:F56,"Ambil Obat"))</f>
        <v/>
      </c>
      <c r="J57" s="22" t="n"/>
      <c r="K57" s="23">
        <f>IF(COUNTA(C56:C56)=0,"",D57+G57)</f>
        <v/>
      </c>
    </row>
    <row r="58" ht="24" customHeight="1" s="314">
      <c r="A58" s="249" t="inlineStr">
        <is>
          <t>📅  Rabu, 08 April 2026</t>
        </is>
      </c>
      <c r="B58" s="5" t="n"/>
      <c r="C58" s="5" t="n"/>
      <c r="D58" s="5" t="n"/>
      <c r="E58" s="5" t="n"/>
      <c r="F58" s="5" t="n"/>
      <c r="G58" s="5" t="n"/>
      <c r="H58" s="5" t="n"/>
      <c r="I58" s="5" t="n"/>
      <c r="J58" s="4" t="n"/>
      <c r="K58" s="5" t="n"/>
    </row>
    <row r="59" ht="21.75" customHeight="1" s="314">
      <c r="A59" s="6">
        <f>IF(C59="","",106)</f>
        <v/>
      </c>
      <c r="B59" s="7" t="n">
        <v>46120</v>
      </c>
      <c r="C59" s="8" t="n"/>
      <c r="D59" s="9" t="n">
        <v>0</v>
      </c>
      <c r="E59" s="10" t="inlineStr">
        <is>
          <t>▼</t>
        </is>
      </c>
      <c r="F59" s="10" t="inlineStr">
        <is>
          <t>▼</t>
        </is>
      </c>
      <c r="G59" s="9" t="n">
        <v>0</v>
      </c>
      <c r="H59" s="10" t="inlineStr">
        <is>
          <t>▼</t>
        </is>
      </c>
      <c r="I59" s="9" t="n">
        <v>0</v>
      </c>
      <c r="J59" s="12" t="n"/>
      <c r="K59" s="13" t="inlineStr">
        <is>
          <t>▼</t>
        </is>
      </c>
    </row>
    <row r="60" ht="24" customHeight="1" s="314">
      <c r="A60" s="248">
        <f>IF(COUNTA(C59:C59)=0,"— belum ada data —","📊 Sub-total  "&amp; TEXT(B59,"DD MMM YYYY") &amp;"  ("&amp;COUNTA(C59:C59)&amp;" pasien)")</f>
        <v/>
      </c>
      <c r="B60" s="316" t="n"/>
      <c r="C60" s="316" t="n"/>
      <c r="D60" s="19">
        <f>IF(COUNTA(C59:C59)=0,"",SUM(D59:D59))</f>
        <v/>
      </c>
      <c r="E60" s="20">
        <f>IF(COUNTA(C59:C59)=0,"",SUMIF(E59:E59,"Cash",D59:D59))</f>
        <v/>
      </c>
      <c r="F60" s="21">
        <f>IF(COUNTA(C59:C59)=0,"",SUMIF(E59:E59,"Transfer Bank",D59:D59))</f>
        <v/>
      </c>
      <c r="G60" s="19">
        <f>IF(COUNTA(C59:C59)=0,"",SUMIF(F59:F59,"Ambil Obat",G59:G59))</f>
        <v/>
      </c>
      <c r="H60" s="20">
        <f>IF(COUNTA(C59:C59)=0,"",SUMIFS(G59:G59,H59:H59,"Cash",F59:F59,"Ambil Obat"))</f>
        <v/>
      </c>
      <c r="I60" s="21">
        <f>IF(COUNTA(C59:C59)=0,"",SUMIFS(G59:G59,H59:H59,"Transfer Bank",F59:F59,"Ambil Obat"))</f>
        <v/>
      </c>
      <c r="J60" s="22" t="n"/>
      <c r="K60" s="23">
        <f>IF(COUNTA(C59:C59)=0,"",D60+G60)</f>
        <v/>
      </c>
    </row>
    <row r="61" ht="24" customHeight="1" s="314">
      <c r="A61" s="249" t="inlineStr">
        <is>
          <t>📅  Kamis, 09 April 2026</t>
        </is>
      </c>
      <c r="B61" s="5" t="n"/>
      <c r="C61" s="5" t="n"/>
      <c r="D61" s="5" t="n"/>
      <c r="E61" s="5" t="n"/>
      <c r="F61" s="5" t="n"/>
      <c r="G61" s="5" t="n"/>
      <c r="H61" s="5" t="n"/>
      <c r="I61" s="5" t="n"/>
      <c r="J61" s="4" t="n"/>
      <c r="K61" s="5" t="n"/>
    </row>
    <row r="62" ht="21.75" customHeight="1" s="314">
      <c r="A62" s="6">
        <f>IF(C62="","",121)</f>
        <v/>
      </c>
      <c r="B62" s="7" t="n">
        <v>46121</v>
      </c>
      <c r="C62" s="8" t="n"/>
      <c r="D62" s="9" t="n">
        <v>0</v>
      </c>
      <c r="E62" s="10" t="inlineStr">
        <is>
          <t>▼</t>
        </is>
      </c>
      <c r="F62" s="10" t="inlineStr">
        <is>
          <t>▼</t>
        </is>
      </c>
      <c r="G62" s="9" t="n">
        <v>0</v>
      </c>
      <c r="H62" s="10" t="inlineStr">
        <is>
          <t>▼</t>
        </is>
      </c>
      <c r="I62" s="9" t="n">
        <v>0</v>
      </c>
      <c r="J62" s="12" t="n"/>
      <c r="K62" s="13" t="inlineStr">
        <is>
          <t>▼</t>
        </is>
      </c>
    </row>
    <row r="63" ht="24" customHeight="1" s="314">
      <c r="A63" s="248">
        <f>IF(COUNTA(C62:C62)=0,"— belum ada data —","📊 Sub-total  "&amp; TEXT(B62,"DD MMM YYYY") &amp;"  ("&amp;COUNTA(C62:C62)&amp;" pasien)")</f>
        <v/>
      </c>
      <c r="B63" s="316" t="n"/>
      <c r="C63" s="316" t="n"/>
      <c r="D63" s="19">
        <f>IF(COUNTA(C62:C62)=0,"",SUM(D62:D62))</f>
        <v/>
      </c>
      <c r="E63" s="20">
        <f>IF(COUNTA(C62:C62)=0,"",SUMIF(E62:E62,"Cash",D62:D62))</f>
        <v/>
      </c>
      <c r="F63" s="21">
        <f>IF(COUNTA(C62:C62)=0,"",SUMIF(E62:E62,"Transfer Bank",D62:D62))</f>
        <v/>
      </c>
      <c r="G63" s="19">
        <f>IF(COUNTA(C62:C62)=0,"",SUMIF(F62:F62,"Ambil Obat",G62:G62))</f>
        <v/>
      </c>
      <c r="H63" s="20">
        <f>IF(COUNTA(C62:C62)=0,"",SUMIFS(G62:G62,H62:H62,"Cash",F62:F62,"Ambil Obat"))</f>
        <v/>
      </c>
      <c r="I63" s="21">
        <f>IF(COUNTA(C62:C62)=0,"",SUMIFS(G62:G62,H62:H62,"Transfer Bank",F62:F62,"Ambil Obat"))</f>
        <v/>
      </c>
      <c r="J63" s="22" t="n"/>
      <c r="K63" s="23">
        <f>IF(COUNTA(C62:C62)=0,"",D63+G63)</f>
        <v/>
      </c>
    </row>
    <row r="64" ht="24" customHeight="1" s="314">
      <c r="A64" s="249" t="inlineStr">
        <is>
          <t>📅  Jumat, 10 April 2026</t>
        </is>
      </c>
      <c r="B64" s="5" t="n"/>
      <c r="C64" s="5" t="n"/>
      <c r="D64" s="5" t="n"/>
      <c r="E64" s="5" t="n"/>
      <c r="F64" s="5" t="n"/>
      <c r="G64" s="5" t="n"/>
      <c r="H64" s="5" t="n"/>
      <c r="I64" s="5" t="n"/>
      <c r="J64" s="4" t="n"/>
      <c r="K64" s="5" t="n"/>
    </row>
    <row r="65" ht="21.75" customHeight="1" s="314">
      <c r="A65" s="6">
        <f>IF(C65="","",136)</f>
        <v/>
      </c>
      <c r="B65" s="7" t="n">
        <v>46122</v>
      </c>
      <c r="C65" s="8" t="n"/>
      <c r="D65" s="9" t="n">
        <v>0</v>
      </c>
      <c r="E65" s="10" t="inlineStr">
        <is>
          <t>▼</t>
        </is>
      </c>
      <c r="F65" s="10" t="inlineStr">
        <is>
          <t>▼</t>
        </is>
      </c>
      <c r="G65" s="9" t="n">
        <v>0</v>
      </c>
      <c r="H65" s="10" t="inlineStr">
        <is>
          <t>▼</t>
        </is>
      </c>
      <c r="I65" s="9" t="n">
        <v>0</v>
      </c>
      <c r="J65" s="12" t="n"/>
      <c r="K65" s="13" t="inlineStr">
        <is>
          <t>▼</t>
        </is>
      </c>
    </row>
    <row r="66" ht="24" customHeight="1" s="314">
      <c r="A66" s="248">
        <f>IF(COUNTA(C65:C65)=0,"— belum ada data —","📊 Sub-total  "&amp; TEXT(B65,"DD MMM YYYY") &amp;"  ("&amp;COUNTA(C65:C65)&amp;" pasien)")</f>
        <v/>
      </c>
      <c r="B66" s="316" t="n"/>
      <c r="C66" s="316" t="n"/>
      <c r="D66" s="19">
        <f>IF(COUNTA(C65:C65)=0,"",SUM(D65:D65))</f>
        <v/>
      </c>
      <c r="E66" s="20">
        <f>IF(COUNTA(C65:C65)=0,"",SUMIF(E65:E65,"Cash",D65:D65))</f>
        <v/>
      </c>
      <c r="F66" s="21">
        <f>IF(COUNTA(C65:C65)=0,"",SUMIF(E65:E65,"Transfer Bank",D65:D65))</f>
        <v/>
      </c>
      <c r="G66" s="19">
        <f>IF(COUNTA(C65:C65)=0,"",SUMIF(F65:F65,"Ambil Obat",G65:G65))</f>
        <v/>
      </c>
      <c r="H66" s="20">
        <f>IF(COUNTA(C65:C65)=0,"",SUMIFS(G65:G65,H65:H65,"Cash",F65:F65,"Ambil Obat"))</f>
        <v/>
      </c>
      <c r="I66" s="21">
        <f>IF(COUNTA(C65:C65)=0,"",SUMIFS(G65:G65,H65:H65,"Transfer Bank",F65:F65,"Ambil Obat"))</f>
        <v/>
      </c>
      <c r="J66" s="22" t="n"/>
      <c r="K66" s="23">
        <f>IF(COUNTA(C65:C65)=0,"",D66+G66)</f>
        <v/>
      </c>
    </row>
    <row r="67" ht="24" customHeight="1" s="314">
      <c r="A67" s="249" t="inlineStr">
        <is>
          <t>📅  Sabtu, 11 April 2026</t>
        </is>
      </c>
      <c r="B67" s="5" t="n"/>
      <c r="C67" s="5" t="n"/>
      <c r="D67" s="5" t="n"/>
      <c r="E67" s="5" t="n"/>
      <c r="F67" s="5" t="n"/>
      <c r="G67" s="5" t="n"/>
      <c r="H67" s="5" t="n"/>
      <c r="I67" s="5" t="n"/>
      <c r="J67" s="4" t="n"/>
      <c r="K67" s="5" t="n"/>
    </row>
    <row r="68" ht="21.75" customHeight="1" s="314">
      <c r="A68" s="6">
        <f>IF(C68="","",151)</f>
        <v/>
      </c>
      <c r="B68" s="7" t="n">
        <v>46123</v>
      </c>
      <c r="C68" s="8" t="n"/>
      <c r="D68" s="9" t="n">
        <v>0</v>
      </c>
      <c r="E68" s="10" t="inlineStr">
        <is>
          <t>▼</t>
        </is>
      </c>
      <c r="F68" s="10" t="inlineStr">
        <is>
          <t>▼</t>
        </is>
      </c>
      <c r="G68" s="9" t="n">
        <v>0</v>
      </c>
      <c r="H68" s="10" t="inlineStr">
        <is>
          <t>▼</t>
        </is>
      </c>
      <c r="I68" s="9" t="n">
        <v>0</v>
      </c>
      <c r="J68" s="12" t="n"/>
      <c r="K68" s="13" t="inlineStr">
        <is>
          <t>▼</t>
        </is>
      </c>
    </row>
    <row r="69" ht="24" customHeight="1" s="314">
      <c r="A69" s="248">
        <f>IF(COUNTA(C68:C68)=0,"— belum ada data —","📊 Sub-total  "&amp; TEXT(B68,"DD MMM YYYY") &amp;"  ("&amp;COUNTA(C68:C68)&amp;" pasien)")</f>
        <v/>
      </c>
      <c r="B69" s="316" t="n"/>
      <c r="C69" s="316" t="n"/>
      <c r="D69" s="19">
        <f>IF(COUNTA(C68:C68)=0,"",SUM(D68:D68))</f>
        <v/>
      </c>
      <c r="E69" s="20">
        <f>IF(COUNTA(C68:C68)=0,"",SUMIF(E68:E68,"Cash",D68:D68))</f>
        <v/>
      </c>
      <c r="F69" s="21">
        <f>IF(COUNTA(C68:C68)=0,"",SUMIF(E68:E68,"Transfer Bank",D68:D68))</f>
        <v/>
      </c>
      <c r="G69" s="19">
        <f>IF(COUNTA(C68:C68)=0,"",SUMIF(F68:F68,"Ambil Obat",G68:G68))</f>
        <v/>
      </c>
      <c r="H69" s="20">
        <f>IF(COUNTA(C68:C68)=0,"",SUMIFS(G68:G68,H68:H68,"Cash",F68:F68,"Ambil Obat"))</f>
        <v/>
      </c>
      <c r="I69" s="21">
        <f>IF(COUNTA(C68:C68)=0,"",SUMIFS(G68:G68,H68:H68,"Transfer Bank",F68:F68,"Ambil Obat"))</f>
        <v/>
      </c>
      <c r="J69" s="22" t="n"/>
      <c r="K69" s="23">
        <f>IF(COUNTA(C68:C68)=0,"",D69+G69)</f>
        <v/>
      </c>
    </row>
    <row r="70" ht="24" customHeight="1" s="314">
      <c r="A70" s="249" t="inlineStr">
        <is>
          <t>📅  Minggu, 12 April 2026</t>
        </is>
      </c>
      <c r="B70" s="5" t="n"/>
      <c r="C70" s="5" t="n"/>
      <c r="D70" s="5" t="n"/>
      <c r="E70" s="5" t="n"/>
      <c r="F70" s="5" t="n"/>
      <c r="G70" s="5" t="n"/>
      <c r="H70" s="5" t="n"/>
      <c r="I70" s="5" t="n"/>
      <c r="J70" s="4" t="n"/>
      <c r="K70" s="5" t="n"/>
    </row>
    <row r="71" ht="21.75" customHeight="1" s="314">
      <c r="A71" s="6">
        <f>IF(C71="","",166)</f>
        <v/>
      </c>
      <c r="B71" s="7" t="n">
        <v>46124</v>
      </c>
      <c r="C71" s="8" t="n"/>
      <c r="D71" s="9" t="n">
        <v>0</v>
      </c>
      <c r="E71" s="10" t="inlineStr">
        <is>
          <t>▼</t>
        </is>
      </c>
      <c r="F71" s="10" t="inlineStr">
        <is>
          <t>▼</t>
        </is>
      </c>
      <c r="G71" s="9" t="n">
        <v>0</v>
      </c>
      <c r="H71" s="10" t="inlineStr">
        <is>
          <t>▼</t>
        </is>
      </c>
      <c r="I71" s="9" t="n">
        <v>0</v>
      </c>
      <c r="J71" s="12" t="n"/>
      <c r="K71" s="13" t="inlineStr">
        <is>
          <t>▼</t>
        </is>
      </c>
    </row>
    <row r="72" ht="24" customHeight="1" s="314">
      <c r="A72" s="248">
        <f>IF(COUNTA(C71:C71)=0,"— belum ada data —","📊 Sub-total  "&amp; TEXT(B71,"DD MMM YYYY") &amp;"  ("&amp;COUNTA(C71:C71)&amp;" pasien)")</f>
        <v/>
      </c>
      <c r="B72" s="316" t="n"/>
      <c r="C72" s="316" t="n"/>
      <c r="D72" s="19">
        <f>IF(COUNTA(C71:C71)=0,"",SUM(D71:D71))</f>
        <v/>
      </c>
      <c r="E72" s="20">
        <f>IF(COUNTA(C71:C71)=0,"",SUMIF(E71:E71,"Cash",D71:D71))</f>
        <v/>
      </c>
      <c r="F72" s="21">
        <f>IF(COUNTA(C71:C71)=0,"",SUMIF(E71:E71,"Transfer Bank",D71:D71))</f>
        <v/>
      </c>
      <c r="G72" s="19">
        <f>IF(COUNTA(C71:C71)=0,"",SUMIF(F71:F71,"Ambil Obat",G71:G71))</f>
        <v/>
      </c>
      <c r="H72" s="20">
        <f>IF(COUNTA(C71:C71)=0,"",SUMIFS(G71:G71,H71:H71,"Cash",F71:F71,"Ambil Obat"))</f>
        <v/>
      </c>
      <c r="I72" s="21">
        <f>IF(COUNTA(C71:C71)=0,"",SUMIFS(G71:G71,H71:H71,"Transfer Bank",F71:F71,"Ambil Obat"))</f>
        <v/>
      </c>
      <c r="J72" s="22" t="n"/>
      <c r="K72" s="23">
        <f>IF(COUNTA(C71:C71)=0,"",D72+G72)</f>
        <v/>
      </c>
    </row>
    <row r="73" ht="24" customHeight="1" s="314">
      <c r="A73" s="249" t="inlineStr">
        <is>
          <t>📅  Senin, 13 April 2026</t>
        </is>
      </c>
      <c r="B73" s="5" t="n"/>
      <c r="C73" s="5" t="n"/>
      <c r="D73" s="5" t="n"/>
      <c r="E73" s="5" t="n"/>
      <c r="F73" s="5" t="n"/>
      <c r="G73" s="5" t="n"/>
      <c r="H73" s="5" t="n"/>
      <c r="I73" s="5" t="n"/>
      <c r="J73" s="4" t="n"/>
      <c r="K73" s="5" t="n"/>
    </row>
    <row r="74" ht="21.75" customHeight="1" s="314">
      <c r="A74" s="6">
        <f>IF(C74="","",181)</f>
        <v/>
      </c>
      <c r="B74" s="7" t="n">
        <v>46125</v>
      </c>
      <c r="C74" s="8" t="n"/>
      <c r="D74" s="9" t="n">
        <v>0</v>
      </c>
      <c r="E74" s="10" t="inlineStr">
        <is>
          <t>▼</t>
        </is>
      </c>
      <c r="F74" s="10" t="inlineStr">
        <is>
          <t>▼</t>
        </is>
      </c>
      <c r="G74" s="9" t="n">
        <v>0</v>
      </c>
      <c r="H74" s="10" t="inlineStr">
        <is>
          <t>▼</t>
        </is>
      </c>
      <c r="I74" s="9" t="n">
        <v>0</v>
      </c>
      <c r="J74" s="12" t="n"/>
      <c r="K74" s="13" t="inlineStr">
        <is>
          <t>▼</t>
        </is>
      </c>
    </row>
    <row r="75" ht="24" customHeight="1" s="314">
      <c r="A75" s="248">
        <f>IF(COUNTA(C74:C74)=0,"— belum ada data —","📊 Sub-total  "&amp; TEXT(B74,"DD MMM YYYY") &amp;"  ("&amp;COUNTA(C74:C74)&amp;" pasien)")</f>
        <v/>
      </c>
      <c r="B75" s="316" t="n"/>
      <c r="C75" s="316" t="n"/>
      <c r="D75" s="19">
        <f>IF(COUNTA(C74:C74)=0,"",SUM(D74:D74))</f>
        <v/>
      </c>
      <c r="E75" s="20">
        <f>IF(COUNTA(C74:C74)=0,"",SUMIF(E74:E74,"Cash",D74:D74))</f>
        <v/>
      </c>
      <c r="F75" s="21">
        <f>IF(COUNTA(C74:C74)=0,"",SUMIF(E74:E74,"Transfer Bank",D74:D74))</f>
        <v/>
      </c>
      <c r="G75" s="19">
        <f>IF(COUNTA(C74:C74)=0,"",SUMIF(F74:F74,"Ambil Obat",G74:G74))</f>
        <v/>
      </c>
      <c r="H75" s="20">
        <f>IF(COUNTA(C74:C74)=0,"",SUMIFS(G74:G74,H74:H74,"Cash",F74:F74,"Ambil Obat"))</f>
        <v/>
      </c>
      <c r="I75" s="21">
        <f>IF(COUNTA(C74:C74)=0,"",SUMIFS(G74:G74,H74:H74,"Transfer Bank",F74:F74,"Ambil Obat"))</f>
        <v/>
      </c>
      <c r="J75" s="22" t="n"/>
      <c r="K75" s="23">
        <f>IF(COUNTA(C74:C74)=0,"",D75+G75)</f>
        <v/>
      </c>
    </row>
    <row r="76" ht="24" customHeight="1" s="314">
      <c r="A76" s="249" t="inlineStr">
        <is>
          <t>📅  Selasa, 14 April 2026</t>
        </is>
      </c>
      <c r="B76" s="5" t="n"/>
      <c r="C76" s="5" t="n"/>
      <c r="D76" s="5" t="n"/>
      <c r="E76" s="5" t="n"/>
      <c r="F76" s="5" t="n"/>
      <c r="G76" s="5" t="n"/>
      <c r="H76" s="5" t="n"/>
      <c r="I76" s="5" t="n"/>
      <c r="J76" s="4" t="n"/>
      <c r="K76" s="5" t="n"/>
    </row>
    <row r="77" ht="21.75" customHeight="1" s="314">
      <c r="A77" s="6">
        <f>IF(C77="","",196)</f>
        <v/>
      </c>
      <c r="B77" s="7" t="n">
        <v>46126</v>
      </c>
      <c r="C77" s="8" t="n"/>
      <c r="D77" s="9" t="n">
        <v>0</v>
      </c>
      <c r="E77" s="10" t="inlineStr">
        <is>
          <t>▼</t>
        </is>
      </c>
      <c r="F77" s="10" t="inlineStr">
        <is>
          <t>▼</t>
        </is>
      </c>
      <c r="G77" s="9" t="n">
        <v>0</v>
      </c>
      <c r="H77" s="10" t="inlineStr">
        <is>
          <t>▼</t>
        </is>
      </c>
      <c r="I77" s="9" t="n">
        <v>0</v>
      </c>
      <c r="J77" s="12" t="n"/>
      <c r="K77" s="13" t="inlineStr">
        <is>
          <t>▼</t>
        </is>
      </c>
    </row>
    <row r="78" ht="24" customHeight="1" s="314">
      <c r="A78" s="248">
        <f>IF(COUNTA(C77:C77)=0,"— belum ada data —","📊 Sub-total  "&amp; TEXT(B77,"DD MMM YYYY") &amp;"  ("&amp;COUNTA(C77:C77)&amp;" pasien)")</f>
        <v/>
      </c>
      <c r="B78" s="316" t="n"/>
      <c r="C78" s="316" t="n"/>
      <c r="D78" s="19">
        <f>IF(COUNTA(C77:C77)=0,"",SUM(D77:D77))</f>
        <v/>
      </c>
      <c r="E78" s="20">
        <f>IF(COUNTA(C77:C77)=0,"",SUMIF(E77:E77,"Cash",D77:D77))</f>
        <v/>
      </c>
      <c r="F78" s="21">
        <f>IF(COUNTA(C77:C77)=0,"",SUMIF(E77:E77,"Transfer Bank",D77:D77))</f>
        <v/>
      </c>
      <c r="G78" s="19">
        <f>IF(COUNTA(C77:C77)=0,"",SUMIF(F77:F77,"Ambil Obat",G77:G77))</f>
        <v/>
      </c>
      <c r="H78" s="20">
        <f>IF(COUNTA(C77:C77)=0,"",SUMIFS(G77:G77,H77:H77,"Cash",F77:F77,"Ambil Obat"))</f>
        <v/>
      </c>
      <c r="I78" s="21">
        <f>IF(COUNTA(C77:C77)=0,"",SUMIFS(G77:G77,H77:H77,"Transfer Bank",F77:F77,"Ambil Obat"))</f>
        <v/>
      </c>
      <c r="J78" s="22" t="n"/>
      <c r="K78" s="23">
        <f>IF(COUNTA(C77:C77)=0,"",D78+G78)</f>
        <v/>
      </c>
    </row>
    <row r="79" ht="24" customHeight="1" s="314">
      <c r="A79" s="249" t="inlineStr">
        <is>
          <t>📅  Rabu, 15 April 2026</t>
        </is>
      </c>
      <c r="B79" s="5" t="n"/>
      <c r="C79" s="5" t="n"/>
      <c r="D79" s="5" t="n"/>
      <c r="E79" s="5" t="n"/>
      <c r="F79" s="5" t="n"/>
      <c r="G79" s="5" t="n"/>
      <c r="H79" s="5" t="n"/>
      <c r="I79" s="5" t="n"/>
      <c r="J79" s="4" t="n"/>
      <c r="K79" s="5" t="n"/>
    </row>
    <row r="80" ht="21.75" customHeight="1" s="314">
      <c r="A80" s="6">
        <f>IF(C80="","",211)</f>
        <v/>
      </c>
      <c r="B80" s="7" t="n">
        <v>46127</v>
      </c>
      <c r="C80" s="8" t="n"/>
      <c r="D80" s="9" t="n">
        <v>0</v>
      </c>
      <c r="E80" s="10" t="inlineStr">
        <is>
          <t>▼</t>
        </is>
      </c>
      <c r="F80" s="10" t="inlineStr">
        <is>
          <t>▼</t>
        </is>
      </c>
      <c r="G80" s="9" t="n">
        <v>0</v>
      </c>
      <c r="H80" s="10" t="inlineStr">
        <is>
          <t>▼</t>
        </is>
      </c>
      <c r="I80" s="9" t="n">
        <v>0</v>
      </c>
      <c r="J80" s="12" t="n"/>
      <c r="K80" s="13" t="inlineStr">
        <is>
          <t>▼</t>
        </is>
      </c>
    </row>
    <row r="81" ht="24" customHeight="1" s="314">
      <c r="A81" s="248">
        <f>IF(COUNTA(C80:C80)=0,"— belum ada data —","📊 Sub-total  "&amp; TEXT(B80,"DD MMM YYYY") &amp;"  ("&amp;COUNTA(C80:C80)&amp;" pasien)")</f>
        <v/>
      </c>
      <c r="B81" s="316" t="n"/>
      <c r="C81" s="316" t="n"/>
      <c r="D81" s="19">
        <f>IF(COUNTA(C80:C80)=0,"",SUM(D80:D80))</f>
        <v/>
      </c>
      <c r="E81" s="20">
        <f>IF(COUNTA(C80:C80)=0,"",SUMIF(E80:E80,"Cash",D80:D80))</f>
        <v/>
      </c>
      <c r="F81" s="21">
        <f>IF(COUNTA(C80:C80)=0,"",SUMIF(E80:E80,"Transfer Bank",D80:D80))</f>
        <v/>
      </c>
      <c r="G81" s="19">
        <f>IF(COUNTA(C80:C80)=0,"",SUMIF(F80:F80,"Ambil Obat",G80:G80))</f>
        <v/>
      </c>
      <c r="H81" s="20">
        <f>IF(COUNTA(C80:C80)=0,"",SUMIFS(G80:G80,H80:H80,"Cash",F80:F80,"Ambil Obat"))</f>
        <v/>
      </c>
      <c r="I81" s="21">
        <f>IF(COUNTA(C80:C80)=0,"",SUMIFS(G80:G80,H80:H80,"Transfer Bank",F80:F80,"Ambil Obat"))</f>
        <v/>
      </c>
      <c r="J81" s="22" t="n"/>
      <c r="K81" s="23">
        <f>IF(COUNTA(C80:C80)=0,"",D81+G81)</f>
        <v/>
      </c>
    </row>
    <row r="82" ht="24" customHeight="1" s="314">
      <c r="A82" s="249" t="inlineStr">
        <is>
          <t>📅  Kamis, 16 April 2026</t>
        </is>
      </c>
      <c r="B82" s="5" t="n"/>
      <c r="C82" s="5" t="n"/>
      <c r="D82" s="5" t="n"/>
      <c r="E82" s="5" t="n"/>
      <c r="F82" s="5" t="n"/>
      <c r="G82" s="5" t="n"/>
      <c r="H82" s="5" t="n"/>
      <c r="I82" s="5" t="n"/>
      <c r="J82" s="4" t="n"/>
      <c r="K82" s="5" t="n"/>
    </row>
    <row r="83" ht="21.75" customHeight="1" s="314">
      <c r="A83" s="6">
        <f>IF(C83="","",226)</f>
        <v/>
      </c>
      <c r="B83" s="7" t="n">
        <v>46128</v>
      </c>
      <c r="C83" s="8" t="n"/>
      <c r="D83" s="9" t="n">
        <v>0</v>
      </c>
      <c r="E83" s="10" t="inlineStr">
        <is>
          <t>▼</t>
        </is>
      </c>
      <c r="F83" s="10" t="inlineStr">
        <is>
          <t>▼</t>
        </is>
      </c>
      <c r="G83" s="9" t="n">
        <v>0</v>
      </c>
      <c r="H83" s="10" t="inlineStr">
        <is>
          <t>▼</t>
        </is>
      </c>
      <c r="I83" s="9" t="n">
        <v>0</v>
      </c>
      <c r="J83" s="12" t="n"/>
      <c r="K83" s="13" t="inlineStr">
        <is>
          <t>▼</t>
        </is>
      </c>
    </row>
    <row r="84" ht="24" customHeight="1" s="314">
      <c r="A84" s="248">
        <f>IF(COUNTA(C83:C83)=0,"— belum ada data —","📊 Sub-total  "&amp; TEXT(B83,"DD MMM YYYY") &amp;"  ("&amp;COUNTA(C83:C83)&amp;" pasien)")</f>
        <v/>
      </c>
      <c r="B84" s="316" t="n"/>
      <c r="C84" s="316" t="n"/>
      <c r="D84" s="19">
        <f>IF(COUNTA(C83:C83)=0,"",SUM(D83:D83))</f>
        <v/>
      </c>
      <c r="E84" s="20">
        <f>IF(COUNTA(C83:C83)=0,"",SUMIF(E83:E83,"Cash",D83:D83))</f>
        <v/>
      </c>
      <c r="F84" s="21">
        <f>IF(COUNTA(C83:C83)=0,"",SUMIF(E83:E83,"Transfer Bank",D83:D83))</f>
        <v/>
      </c>
      <c r="G84" s="19">
        <f>IF(COUNTA(C83:C83)=0,"",SUMIF(F83:F83,"Ambil Obat",G83:G83))</f>
        <v/>
      </c>
      <c r="H84" s="20">
        <f>IF(COUNTA(C83:C83)=0,"",SUMIFS(G83:G83,H83:H83,"Cash",F83:F83,"Ambil Obat"))</f>
        <v/>
      </c>
      <c r="I84" s="21">
        <f>IF(COUNTA(C83:C83)=0,"",SUMIFS(G83:G83,H83:H83,"Transfer Bank",F83:F83,"Ambil Obat"))</f>
        <v/>
      </c>
      <c r="J84" s="22" t="n"/>
      <c r="K84" s="23">
        <f>IF(COUNTA(C83:C83)=0,"",D84+G84)</f>
        <v/>
      </c>
    </row>
    <row r="85" ht="24" customHeight="1" s="314">
      <c r="A85" s="249" t="inlineStr">
        <is>
          <t>📅  Jumat, 17 April 2026</t>
        </is>
      </c>
      <c r="B85" s="5" t="n"/>
      <c r="C85" s="5" t="n"/>
      <c r="D85" s="5" t="n"/>
      <c r="E85" s="5" t="n"/>
      <c r="F85" s="5" t="n"/>
      <c r="G85" s="5" t="n"/>
      <c r="H85" s="5" t="n"/>
      <c r="I85" s="5" t="n"/>
      <c r="J85" s="4" t="n"/>
      <c r="K85" s="5" t="n"/>
    </row>
    <row r="86" ht="21.75" customHeight="1" s="314">
      <c r="A86" s="6" t="n">
        <v>1</v>
      </c>
      <c r="B86" s="7" t="n">
        <v>46129</v>
      </c>
      <c r="C86" s="8" t="n"/>
      <c r="D86" s="9" t="n"/>
      <c r="E86" s="10" t="inlineStr">
        <is>
          <t>▼</t>
        </is>
      </c>
      <c r="F86" s="10" t="inlineStr">
        <is>
          <t>▼</t>
        </is>
      </c>
      <c r="G86" s="9" t="n"/>
      <c r="H86" s="10" t="inlineStr">
        <is>
          <t>▼</t>
        </is>
      </c>
      <c r="I86" s="9" t="n">
        <v>0</v>
      </c>
      <c r="J86" s="12" t="n"/>
      <c r="K86" s="13" t="inlineStr">
        <is>
          <t>▼</t>
        </is>
      </c>
    </row>
    <row r="87" ht="24" customHeight="1" s="314">
      <c r="A87" s="248">
        <f>IF(COUNTA(C86:C86)=0,"— belum ada data —","📊 Sub-total  "&amp; TEXT(B86,"DD MMM YYYY") &amp;"  ("&amp;COUNTA(C86:C86)&amp;" pasien)")</f>
        <v/>
      </c>
      <c r="B87" s="316" t="n"/>
      <c r="C87" s="316" t="n"/>
      <c r="D87" s="19">
        <f>IF(COUNTA(C86:C86)=0,"",SUM(D86:D86))</f>
        <v/>
      </c>
      <c r="E87" s="20">
        <f>IF(COUNTA(C86:C86)=0,"",SUMIF(E86:E86,"Cash",D86:D86))</f>
        <v/>
      </c>
      <c r="F87" s="21">
        <f>IF(COUNTA(C86:C86)=0,"",SUMIF(E86:E86,"Transfer Bank",D86:D86))</f>
        <v/>
      </c>
      <c r="G87" s="19">
        <f>IF(COUNTA(C86:C86)=0,"",SUMIF(F86:F86,"Ambil Obat",G86:G86))</f>
        <v/>
      </c>
      <c r="H87" s="20">
        <f>IF(COUNTA(C86:C86)=0,"",SUMIFS(G86:G86,H86:H86,"Cash",F86:F86,"Ambil Obat"))</f>
        <v/>
      </c>
      <c r="I87" s="21">
        <f>IF(COUNTA(C86:C86)=0,"",SUMIFS(G86:G86,H86:H86,"Transfer Bank",F86:F86,"Ambil Obat"))</f>
        <v/>
      </c>
      <c r="J87" s="22" t="n"/>
      <c r="K87" s="23">
        <f>IF(COUNTA(C86:C86)=0,"",D87+G87)</f>
        <v/>
      </c>
    </row>
    <row r="88" ht="24" customHeight="1" s="314">
      <c r="A88" s="249" t="inlineStr">
        <is>
          <t>📅  Sabtu, 18 April 2026</t>
        </is>
      </c>
      <c r="B88" s="5" t="n"/>
      <c r="C88" s="5" t="n"/>
      <c r="D88" s="5" t="n"/>
      <c r="E88" s="5" t="n"/>
      <c r="F88" s="5" t="n"/>
      <c r="G88" s="5" t="n"/>
      <c r="H88" s="5" t="n"/>
      <c r="I88" s="5" t="n"/>
      <c r="J88" s="4" t="n"/>
      <c r="K88" s="5" t="n"/>
    </row>
    <row r="89" ht="21.75" customHeight="1" s="314">
      <c r="A89" s="6">
        <f>IF(C89="","",256)</f>
        <v/>
      </c>
      <c r="B89" s="7" t="n">
        <v>46130</v>
      </c>
      <c r="C89" s="8" t="n"/>
      <c r="D89" s="9" t="n">
        <v>0</v>
      </c>
      <c r="E89" s="10" t="inlineStr">
        <is>
          <t>▼</t>
        </is>
      </c>
      <c r="F89" s="10" t="inlineStr">
        <is>
          <t>▼</t>
        </is>
      </c>
      <c r="G89" s="9" t="n">
        <v>0</v>
      </c>
      <c r="H89" s="10" t="inlineStr">
        <is>
          <t>▼</t>
        </is>
      </c>
      <c r="I89" s="9" t="n">
        <v>0</v>
      </c>
      <c r="J89" s="12" t="n"/>
      <c r="K89" s="13" t="inlineStr">
        <is>
          <t>▼</t>
        </is>
      </c>
    </row>
    <row r="90" ht="24" customHeight="1" s="314">
      <c r="A90" s="248">
        <f>IF(COUNTA(C89:C89)=0,"— belum ada data —","📊 Sub-total  "&amp; TEXT(B89,"DD MMM YYYY") &amp;"  ("&amp;COUNTA(C89:C89)&amp;" pasien)")</f>
        <v/>
      </c>
      <c r="B90" s="316" t="n"/>
      <c r="C90" s="316" t="n"/>
      <c r="D90" s="19">
        <f>IF(COUNTA(C89:C89)=0,"",SUM(D89:D89))</f>
        <v/>
      </c>
      <c r="E90" s="20">
        <f>IF(COUNTA(C89:C89)=0,"",SUMIF(E89:E89,"Cash",D89:D89))</f>
        <v/>
      </c>
      <c r="F90" s="21">
        <f>IF(COUNTA(C89:C89)=0,"",SUMIF(E89:E89,"Transfer Bank",D89:D89))</f>
        <v/>
      </c>
      <c r="G90" s="19">
        <f>IF(COUNTA(C89:C89)=0,"",SUMIF(F89:F89,"Ambil Obat",G89:G89))</f>
        <v/>
      </c>
      <c r="H90" s="20">
        <f>IF(COUNTA(C89:C89)=0,"",SUMIFS(G89:G89,H89:H89,"Cash",F89:F89,"Ambil Obat"))</f>
        <v/>
      </c>
      <c r="I90" s="21">
        <f>IF(COUNTA(C89:C89)=0,"",SUMIFS(G89:G89,H89:H89,"Transfer Bank",F89:F89,"Ambil Obat"))</f>
        <v/>
      </c>
      <c r="J90" s="22" t="n"/>
      <c r="K90" s="23">
        <f>IF(COUNTA(C89:C89)=0,"",D90+G90)</f>
        <v/>
      </c>
    </row>
    <row r="91" ht="24" customHeight="1" s="314">
      <c r="A91" s="249" t="inlineStr">
        <is>
          <t>📅  Minggu, 19 April 2026</t>
        </is>
      </c>
      <c r="B91" s="5" t="n"/>
      <c r="C91" s="5" t="n"/>
      <c r="D91" s="5" t="n"/>
      <c r="E91" s="5" t="n"/>
      <c r="F91" s="5" t="n"/>
      <c r="G91" s="5" t="n"/>
      <c r="H91" s="5" t="n"/>
      <c r="I91" s="5" t="n"/>
      <c r="J91" s="4" t="n"/>
      <c r="K91" s="5" t="n"/>
    </row>
    <row r="92" ht="21.75" customHeight="1" s="314">
      <c r="A92" s="6">
        <f>IF(C92="","",271)</f>
        <v/>
      </c>
      <c r="B92" s="7" t="n">
        <v>46131</v>
      </c>
      <c r="C92" s="8" t="n"/>
      <c r="D92" s="9" t="n">
        <v>0</v>
      </c>
      <c r="E92" s="10" t="inlineStr">
        <is>
          <t>▼</t>
        </is>
      </c>
      <c r="F92" s="9" t="n">
        <v>0</v>
      </c>
      <c r="G92" s="9" t="n">
        <v>0</v>
      </c>
      <c r="H92" s="10" t="inlineStr">
        <is>
          <t>▼</t>
        </is>
      </c>
      <c r="I92" s="9" t="n">
        <v>0</v>
      </c>
      <c r="J92" s="12" t="n"/>
      <c r="K92" s="13" t="inlineStr">
        <is>
          <t>▼</t>
        </is>
      </c>
    </row>
    <row r="93" ht="24" customHeight="1" s="314">
      <c r="A93" s="248">
        <f>IF(COUNTA(C92:C92)=0,"— belum ada data —","📊 Sub-total  "&amp; TEXT(B92,"DD MMM YYYY") &amp;"  ("&amp;COUNTA(C92:C92)&amp;" pasien)")</f>
        <v/>
      </c>
      <c r="B93" s="316" t="n"/>
      <c r="C93" s="316" t="n"/>
      <c r="D93" s="19">
        <f>IF(COUNTA(C92:C92)=0,"",SUM(D92:D92))</f>
        <v/>
      </c>
      <c r="E93" s="20">
        <f>IF(COUNTA(C92:C92)=0,"",SUMIF(E92:E92,"Cash",D92:D92))</f>
        <v/>
      </c>
      <c r="F93" s="21">
        <f>IF(COUNTA(C92:C92)=0,"",SUMIF(E92:E92,"Transfer Bank",D92:D92))</f>
        <v/>
      </c>
      <c r="G93" s="19">
        <f>IF(COUNTA(C92:C92)=0,"",SUMIF(F92:F92,"Ambil Obat",G92:G92))</f>
        <v/>
      </c>
      <c r="H93" s="20">
        <f>IF(COUNTA(C92:C92)=0,"",SUMIFS(G92:G92,H92:H92,"Cash",F92:F92,"Ambil Obat"))</f>
        <v/>
      </c>
      <c r="I93" s="21">
        <f>IF(COUNTA(C92:C92)=0,"",SUMIFS(G92:G92,H92:H92,"Transfer Bank",F92:F92,"Ambil Obat"))</f>
        <v/>
      </c>
      <c r="J93" s="22" t="n"/>
      <c r="K93" s="23">
        <f>IF(COUNTA(C92:C92)=0,"",D93+G93)</f>
        <v/>
      </c>
    </row>
    <row r="94" ht="24" customHeight="1" s="314">
      <c r="A94" s="249" t="inlineStr">
        <is>
          <t>📅  Senin, 20 April 2026</t>
        </is>
      </c>
      <c r="B94" s="5" t="n"/>
      <c r="C94" s="5" t="n"/>
      <c r="D94" s="5" t="n"/>
      <c r="E94" s="5" t="n"/>
      <c r="F94" s="5" t="n"/>
      <c r="G94" s="5" t="n"/>
      <c r="H94" s="5" t="n"/>
      <c r="I94" s="5" t="n"/>
      <c r="J94" s="4" t="n"/>
      <c r="K94" s="5" t="n"/>
    </row>
    <row r="95" ht="21.75" customHeight="1" s="314">
      <c r="A95" s="6">
        <f>IF(C95="","",286)</f>
        <v/>
      </c>
      <c r="B95" s="7" t="n">
        <v>46132</v>
      </c>
      <c r="C95" s="8" t="n"/>
      <c r="D95" s="9" t="n">
        <v>0</v>
      </c>
      <c r="E95" s="10" t="inlineStr">
        <is>
          <t>▼</t>
        </is>
      </c>
      <c r="F95" s="10" t="inlineStr">
        <is>
          <t>▼</t>
        </is>
      </c>
      <c r="G95" s="9" t="n">
        <v>0</v>
      </c>
      <c r="H95" s="10" t="inlineStr">
        <is>
          <t>▼</t>
        </is>
      </c>
      <c r="I95" s="9" t="n">
        <v>0</v>
      </c>
      <c r="J95" s="12" t="n"/>
      <c r="K95" s="13" t="inlineStr">
        <is>
          <t>▼</t>
        </is>
      </c>
    </row>
    <row r="96" ht="24" customHeight="1" s="314">
      <c r="A96" s="248">
        <f>IF(COUNTA(C95:C95)=0,"— belum ada data —","📊 Sub-total  "&amp; TEXT(B95,"DD MMM YYYY") &amp;"  ("&amp;COUNTA(C95:C95)&amp;" pasien)")</f>
        <v/>
      </c>
      <c r="B96" s="316" t="n"/>
      <c r="C96" s="316" t="n"/>
      <c r="D96" s="19">
        <f>IF(COUNTA(C95:C95)=0,"",SUM(D95:D95))</f>
        <v/>
      </c>
      <c r="E96" s="20">
        <f>IF(COUNTA(C95:C95)=0,"",SUMIF(E95:E95,"Cash",D95:D95))</f>
        <v/>
      </c>
      <c r="F96" s="21">
        <f>IF(COUNTA(C95:C95)=0,"",SUMIF(E95:E95,"Transfer Bank",D95:D95))</f>
        <v/>
      </c>
      <c r="G96" s="19">
        <f>IF(COUNTA(C95:C95)=0,"",SUMIF(F95:F95,"Ambil Obat",G95:G95))</f>
        <v/>
      </c>
      <c r="H96" s="20">
        <f>IF(COUNTA(C95:C95)=0,"",SUMIFS(G95:G95,H95:H95,"Cash",F95:F95,"Ambil Obat"))</f>
        <v/>
      </c>
      <c r="I96" s="21">
        <f>IF(COUNTA(C95:C95)=0,"",SUMIFS(G95:G95,H95:H95,"Transfer Bank",F95:F95,"Ambil Obat"))</f>
        <v/>
      </c>
      <c r="J96" s="22" t="n"/>
      <c r="K96" s="23">
        <f>IF(COUNTA(C95:C95)=0,"",D96+G96)</f>
        <v/>
      </c>
    </row>
    <row r="97" ht="24" customHeight="1" s="314">
      <c r="A97" s="249" t="inlineStr">
        <is>
          <t>📅  Selasa, 21 April 2026</t>
        </is>
      </c>
      <c r="B97" s="5" t="n"/>
      <c r="C97" s="5" t="n"/>
      <c r="D97" s="5" t="n"/>
      <c r="E97" s="5" t="n"/>
      <c r="F97" s="5" t="n"/>
      <c r="G97" s="5" t="n"/>
      <c r="H97" s="5" t="n"/>
      <c r="I97" s="5" t="n"/>
      <c r="J97" s="4" t="n"/>
      <c r="K97" s="5" t="n"/>
    </row>
    <row r="98" ht="21.75" customHeight="1" s="314">
      <c r="A98" s="6">
        <f>IF(C98="","",301)</f>
        <v/>
      </c>
      <c r="B98" s="7" t="n">
        <v>46133</v>
      </c>
      <c r="C98" s="8" t="n"/>
      <c r="D98" s="9" t="n">
        <v>0</v>
      </c>
      <c r="E98" s="10" t="inlineStr">
        <is>
          <t>▼</t>
        </is>
      </c>
      <c r="F98" s="10" t="inlineStr">
        <is>
          <t>▼</t>
        </is>
      </c>
      <c r="G98" s="9" t="n">
        <v>0</v>
      </c>
      <c r="H98" s="10" t="inlineStr">
        <is>
          <t>▼</t>
        </is>
      </c>
      <c r="I98" s="9" t="n">
        <v>0</v>
      </c>
      <c r="J98" s="12" t="n"/>
      <c r="K98" s="13" t="inlineStr">
        <is>
          <t>▼</t>
        </is>
      </c>
    </row>
    <row r="99" ht="24" customHeight="1" s="314">
      <c r="A99" s="248">
        <f>IF(COUNTA(C98:C98)=0,"— belum ada data —","📊 Sub-total  "&amp; TEXT(B98,"DD MMM YYYY") &amp;"  ("&amp;COUNTA(C98:C98)&amp;" pasien)")</f>
        <v/>
      </c>
      <c r="B99" s="316" t="n"/>
      <c r="C99" s="316" t="n"/>
      <c r="D99" s="19">
        <f>IF(COUNTA(C98:C98)=0,"",SUM(D98:D98))</f>
        <v/>
      </c>
      <c r="E99" s="20">
        <f>IF(COUNTA(C98:C98)=0,"",SUMIF(E98:E98,"Cash",D98:D98))</f>
        <v/>
      </c>
      <c r="F99" s="21">
        <f>IF(COUNTA(C98:C98)=0,"",SUMIF(E98:E98,"Transfer Bank",D98:D98))</f>
        <v/>
      </c>
      <c r="G99" s="19">
        <f>IF(COUNTA(C98:C98)=0,"",SUMIF(F98:F98,"Ambil Obat",G98:G98))</f>
        <v/>
      </c>
      <c r="H99" s="20">
        <f>IF(COUNTA(C98:C98)=0,"",SUMIFS(G98:G98,H98:H98,"Cash",F98:F98,"Ambil Obat"))</f>
        <v/>
      </c>
      <c r="I99" s="21">
        <f>IF(COUNTA(C98:C98)=0,"",SUMIFS(G98:G98,H98:H98,"Transfer Bank",F98:F98,"Ambil Obat"))</f>
        <v/>
      </c>
      <c r="J99" s="22" t="n"/>
      <c r="K99" s="23">
        <f>IF(COUNTA(C98:C98)=0,"",D99+G99)</f>
        <v/>
      </c>
    </row>
    <row r="100" ht="24" customHeight="1" s="314">
      <c r="A100" s="249" t="inlineStr">
        <is>
          <t>📅  Rabu, 22 April 2026</t>
        </is>
      </c>
      <c r="B100" s="5" t="n"/>
      <c r="C100" s="5" t="n"/>
      <c r="D100" s="5" t="n"/>
      <c r="E100" s="5" t="n"/>
      <c r="F100" s="5" t="n"/>
      <c r="G100" s="5" t="n"/>
      <c r="H100" s="5" t="n"/>
      <c r="I100" s="5" t="n"/>
      <c r="J100" s="4" t="n"/>
      <c r="K100" s="5" t="n"/>
    </row>
    <row r="101" ht="21.75" customHeight="1" s="314">
      <c r="A101" s="6">
        <f>IF(C101="","",316)</f>
        <v/>
      </c>
      <c r="B101" s="7" t="n">
        <v>46134</v>
      </c>
      <c r="C101" s="8" t="n"/>
      <c r="D101" s="9" t="n">
        <v>0</v>
      </c>
      <c r="E101" s="10" t="inlineStr">
        <is>
          <t>▼</t>
        </is>
      </c>
      <c r="F101" s="10" t="inlineStr">
        <is>
          <t>▼</t>
        </is>
      </c>
      <c r="G101" s="9" t="n">
        <v>0</v>
      </c>
      <c r="H101" s="10" t="inlineStr">
        <is>
          <t>▼</t>
        </is>
      </c>
      <c r="I101" s="9" t="n">
        <v>0</v>
      </c>
      <c r="J101" s="12" t="n"/>
      <c r="K101" s="13" t="inlineStr">
        <is>
          <t>▼</t>
        </is>
      </c>
    </row>
    <row r="102" ht="24" customHeight="1" s="314">
      <c r="A102" s="248">
        <f>IF(COUNTA(C101:C101)=0,"— belum ada data —","📊 Sub-total  "&amp; TEXT(B101,"DD MMM YYYY") &amp;"  ("&amp;COUNTA(C101:C101)&amp;" pasien)")</f>
        <v/>
      </c>
      <c r="B102" s="316" t="n"/>
      <c r="C102" s="316" t="n"/>
      <c r="D102" s="19">
        <f>IF(COUNTA(C101:C101)=0,"",SUM(D101:D101))</f>
        <v/>
      </c>
      <c r="E102" s="20">
        <f>IF(COUNTA(C101:C101)=0,"",SUMIF(E101:E101,"Cash",D101:D101))</f>
        <v/>
      </c>
      <c r="F102" s="21">
        <f>IF(COUNTA(C101:C101)=0,"",SUMIF(E101:E101,"Transfer Bank",D101:D101))</f>
        <v/>
      </c>
      <c r="G102" s="19">
        <f>IF(COUNTA(C101:C101)=0,"",SUMIF(F101:F101,"Ambil Obat",G101:G101))</f>
        <v/>
      </c>
      <c r="H102" s="20">
        <f>IF(COUNTA(C101:C101)=0,"",SUMIFS(G101:G101,H101:H101,"Cash",F101:F101,"Ambil Obat"))</f>
        <v/>
      </c>
      <c r="I102" s="21">
        <f>IF(COUNTA(C101:C101)=0,"",SUMIFS(G101:G101,H101:H101,"Transfer Bank",F101:F101,"Ambil Obat"))</f>
        <v/>
      </c>
      <c r="J102" s="22" t="n"/>
      <c r="K102" s="23">
        <f>IF(COUNTA(C101:C101)=0,"",D102+G102)</f>
        <v/>
      </c>
    </row>
    <row r="103" ht="24" customHeight="1" s="314">
      <c r="A103" s="249" t="inlineStr">
        <is>
          <t>📅  Kamis, 23 April 2026</t>
        </is>
      </c>
      <c r="B103" s="5" t="n"/>
      <c r="C103" s="5" t="n"/>
      <c r="D103" s="5" t="n"/>
      <c r="E103" s="5" t="n"/>
      <c r="F103" s="5" t="n"/>
      <c r="G103" s="5" t="n"/>
      <c r="H103" s="5" t="n"/>
      <c r="I103" s="5" t="n"/>
      <c r="J103" s="4" t="n"/>
      <c r="K103" s="5" t="n"/>
    </row>
    <row r="104" ht="21.75" customHeight="1" s="314">
      <c r="A104" s="6">
        <f>IF(C104="","",331)</f>
        <v/>
      </c>
      <c r="B104" s="7" t="n">
        <v>46135</v>
      </c>
      <c r="C104" s="8" t="n"/>
      <c r="D104" s="9" t="n">
        <v>0</v>
      </c>
      <c r="E104" s="10" t="inlineStr">
        <is>
          <t>▼</t>
        </is>
      </c>
      <c r="F104" s="10" t="inlineStr">
        <is>
          <t>▼</t>
        </is>
      </c>
      <c r="G104" s="9" t="n">
        <v>0</v>
      </c>
      <c r="H104" s="10" t="inlineStr">
        <is>
          <t>▼</t>
        </is>
      </c>
      <c r="I104" s="9" t="n">
        <v>0</v>
      </c>
      <c r="J104" s="12" t="n"/>
      <c r="K104" s="13" t="inlineStr">
        <is>
          <t>▼</t>
        </is>
      </c>
    </row>
    <row r="105" ht="24" customHeight="1" s="314">
      <c r="A105" s="248">
        <f>IF(COUNTA(C104:C104)=0,"— belum ada data —","📊 Sub-total  "&amp; TEXT(B104,"DD MMM YYYY") &amp;"  ("&amp;COUNTA(C104:C104)&amp;" pasien)")</f>
        <v/>
      </c>
      <c r="B105" s="316" t="n"/>
      <c r="C105" s="316" t="n"/>
      <c r="D105" s="19">
        <f>IF(COUNTA(C104:C104)=0,"",SUM(D104:D104))</f>
        <v/>
      </c>
      <c r="E105" s="20">
        <f>IF(COUNTA(C104:C104)=0,"",SUMIF(E104:E104,"Cash",D104:D104))</f>
        <v/>
      </c>
      <c r="F105" s="21">
        <f>IF(COUNTA(C104:C104)=0,"",SUMIF(E104:E104,"Transfer Bank",D104:D104))</f>
        <v/>
      </c>
      <c r="G105" s="19">
        <f>IF(COUNTA(C104:C104)=0,"",SUMIF(F104:F104,"Ambil Obat",G104:G104))</f>
        <v/>
      </c>
      <c r="H105" s="20">
        <f>IF(COUNTA(C104:C104)=0,"",SUMIFS(G104:G104,H104:H104,"Cash",F104:F104,"Ambil Obat"))</f>
        <v/>
      </c>
      <c r="I105" s="21">
        <f>IF(COUNTA(C104:C104)=0,"",SUMIFS(G104:G104,H104:H104,"Transfer Bank",F104:F104,"Ambil Obat"))</f>
        <v/>
      </c>
      <c r="J105" s="22" t="n"/>
      <c r="K105" s="23">
        <f>IF(COUNTA(C104:C104)=0,"",D105+G105)</f>
        <v/>
      </c>
    </row>
    <row r="106" ht="24" customHeight="1" s="314">
      <c r="A106" s="249" t="inlineStr">
        <is>
          <t>📅  Jumat, 24 April 2026</t>
        </is>
      </c>
      <c r="B106" s="5" t="n"/>
      <c r="C106" s="5" t="n"/>
      <c r="D106" s="5" t="n"/>
      <c r="E106" s="5" t="n"/>
      <c r="F106" s="5" t="n"/>
      <c r="G106" s="5" t="n"/>
      <c r="H106" s="5" t="n"/>
      <c r="I106" s="5" t="n"/>
      <c r="J106" s="4" t="n"/>
      <c r="K106" s="5" t="n"/>
    </row>
    <row r="107" ht="21.75" customHeight="1" s="314">
      <c r="A107" s="6">
        <f>IF(C107="","",346)</f>
        <v/>
      </c>
      <c r="B107" s="7" t="n">
        <v>46136</v>
      </c>
      <c r="C107" s="8" t="n"/>
      <c r="D107" s="9" t="n">
        <v>0</v>
      </c>
      <c r="E107" s="10" t="inlineStr">
        <is>
          <t>▼</t>
        </is>
      </c>
      <c r="F107" s="10" t="inlineStr">
        <is>
          <t>▼</t>
        </is>
      </c>
      <c r="G107" s="9" t="n">
        <v>0</v>
      </c>
      <c r="H107" s="10" t="inlineStr">
        <is>
          <t>▼</t>
        </is>
      </c>
      <c r="I107" s="9" t="n">
        <v>0</v>
      </c>
      <c r="J107" s="12" t="n"/>
      <c r="K107" s="13" t="inlineStr">
        <is>
          <t>▼</t>
        </is>
      </c>
    </row>
    <row r="108" ht="24" customHeight="1" s="314">
      <c r="A108" s="248">
        <f>IF(COUNTA(C107:C107)=0,"— belum ada data —","📊 Sub-total  "&amp; TEXT(B107,"DD MMM YYYY") &amp;"  ("&amp;COUNTA(C107:C107)&amp;" pasien)")</f>
        <v/>
      </c>
      <c r="B108" s="316" t="n"/>
      <c r="C108" s="316" t="n"/>
      <c r="D108" s="19">
        <f>IF(COUNTA(C107:C107)=0,"",SUM(D107:D107))</f>
        <v/>
      </c>
      <c r="E108" s="20">
        <f>IF(COUNTA(C107:C107)=0,"",SUMIF(E107:E107,"Cash",D107:D107))</f>
        <v/>
      </c>
      <c r="F108" s="21">
        <f>IF(COUNTA(C107:C107)=0,"",SUMIF(E107:E107,"Transfer Bank",D107:D107))</f>
        <v/>
      </c>
      <c r="G108" s="19">
        <f>IF(COUNTA(C107:C107)=0,"",SUMIF(F107:F107,"Ambil Obat",G107:G107))</f>
        <v/>
      </c>
      <c r="H108" s="20">
        <f>IF(COUNTA(C107:C107)=0,"",SUMIFS(G107:G107,H107:H107,"Cash",F107:F107,"Ambil Obat"))</f>
        <v/>
      </c>
      <c r="I108" s="21">
        <f>IF(COUNTA(C107:C107)=0,"",SUMIFS(G107:G107,H107:H107,"Transfer Bank",F107:F107,"Ambil Obat"))</f>
        <v/>
      </c>
      <c r="J108" s="22" t="n"/>
      <c r="K108" s="23">
        <f>IF(COUNTA(C107:C107)=0,"",D108+G108)</f>
        <v/>
      </c>
    </row>
    <row r="109" ht="24" customHeight="1" s="314">
      <c r="A109" s="249" t="inlineStr">
        <is>
          <t>📅  Sabtu, 25 April 2026</t>
        </is>
      </c>
      <c r="B109" s="5" t="n"/>
      <c r="C109" s="5" t="n"/>
      <c r="D109" s="5" t="n"/>
      <c r="E109" s="5" t="n"/>
      <c r="F109" s="5" t="n"/>
      <c r="G109" s="5" t="n"/>
      <c r="H109" s="5" t="n"/>
      <c r="I109" s="5" t="n"/>
      <c r="J109" s="4" t="n"/>
      <c r="K109" s="5" t="n"/>
    </row>
    <row r="110" ht="21.75" customHeight="1" s="314">
      <c r="A110" s="6" t="n">
        <v>1</v>
      </c>
      <c r="B110" s="7" t="n">
        <v>46137</v>
      </c>
      <c r="C110" s="8" t="n"/>
      <c r="D110" s="9" t="n"/>
      <c r="E110" s="10" t="inlineStr">
        <is>
          <t>▼</t>
        </is>
      </c>
      <c r="F110" s="10" t="inlineStr">
        <is>
          <t>▼</t>
        </is>
      </c>
      <c r="G110" s="9" t="n"/>
      <c r="H110" s="10" t="inlineStr">
        <is>
          <t>▼</t>
        </is>
      </c>
      <c r="I110" s="11">
        <f>IF(C110="","",D110+IF(F110="Ambil Obat",IF(G110="",0,G110),0))</f>
        <v/>
      </c>
      <c r="J110" s="12" t="n"/>
      <c r="K110" s="13" t="inlineStr">
        <is>
          <t>▼</t>
        </is>
      </c>
    </row>
    <row r="111" ht="24" customHeight="1" s="314">
      <c r="A111" s="248">
        <f>IF(COUNTA(C110:C110)=0,"— belum ada data —","📊 Sub-total  "&amp; TEXT(B110,"DD MMM YYYY") &amp;"  ("&amp;COUNTA(C110:C110)&amp;" pasien)")</f>
        <v/>
      </c>
      <c r="B111" s="316" t="n"/>
      <c r="C111" s="316" t="n"/>
      <c r="D111" s="19">
        <f>IF(COUNTA(C110:C110)=0,"",SUM(D110:D110))</f>
        <v/>
      </c>
      <c r="E111" s="20">
        <f>IF(COUNTA(C110:C110)=0,"",SUMIF(E110:E110,"Cash",D110:D110))</f>
        <v/>
      </c>
      <c r="F111" s="21">
        <f>IF(COUNTA(C110:C110)=0,"",SUMIF(E110:E110,"Transfer Bank",D110:D110))</f>
        <v/>
      </c>
      <c r="G111" s="19">
        <f>IF(COUNTA(C110:C110)=0,"",SUMIF(F110:F110,"Ambil Obat",G110:G110))</f>
        <v/>
      </c>
      <c r="H111" s="20">
        <f>IF(COUNTA(C110:C110)=0,"",SUMIFS(G110:G110,H110:H110,"Cash",F110:F110,"Ambil Obat"))</f>
        <v/>
      </c>
      <c r="I111" s="21">
        <f>IF(COUNTA(C110:C110)=0,"",SUMIFS(G110:G110,H110:H110,"Transfer Bank",F110:F110,"Ambil Obat"))</f>
        <v/>
      </c>
      <c r="J111" s="22" t="n"/>
      <c r="K111" s="23">
        <f>IF(COUNTA(C110:C110)=0,"",D111+G111)</f>
        <v/>
      </c>
    </row>
    <row r="112" ht="24" customHeight="1" s="314">
      <c r="A112" s="249" t="inlineStr">
        <is>
          <t>📅  Minggu, 26 April 2026</t>
        </is>
      </c>
      <c r="B112" s="5" t="n"/>
      <c r="C112" s="5" t="n"/>
      <c r="D112" s="5" t="n"/>
      <c r="E112" s="5" t="n"/>
      <c r="F112" s="5" t="n"/>
      <c r="G112" s="5" t="n"/>
      <c r="H112" s="5" t="n"/>
      <c r="I112" s="5" t="n"/>
      <c r="J112" s="4" t="n"/>
      <c r="K112" s="5" t="n"/>
    </row>
    <row r="113" ht="21.75" customHeight="1" s="314">
      <c r="A113" s="6">
        <f>IF(C113="","",376)</f>
        <v/>
      </c>
      <c r="B113" s="7" t="n">
        <v>46138</v>
      </c>
      <c r="C113" s="8" t="n"/>
      <c r="D113" s="9" t="n">
        <v>0</v>
      </c>
      <c r="E113" s="10" t="inlineStr">
        <is>
          <t>▼</t>
        </is>
      </c>
      <c r="F113" s="10" t="inlineStr">
        <is>
          <t>▼</t>
        </is>
      </c>
      <c r="G113" s="9" t="n">
        <v>0</v>
      </c>
      <c r="H113" s="10" t="inlineStr">
        <is>
          <t>▼</t>
        </is>
      </c>
      <c r="I113" s="9" t="n">
        <v>0</v>
      </c>
      <c r="J113" s="12" t="n"/>
      <c r="K113" s="13" t="inlineStr">
        <is>
          <t>▼</t>
        </is>
      </c>
    </row>
    <row r="114" ht="24" customHeight="1" s="314">
      <c r="A114" s="248">
        <f>IF(COUNTA(C113:C113)=0,"— belum ada data —","📊 Sub-total  "&amp; TEXT(B113,"DD MMM YYYY") &amp;"  ("&amp;COUNTA(C113:C113)&amp;" pasien)")</f>
        <v/>
      </c>
      <c r="B114" s="316" t="n"/>
      <c r="C114" s="316" t="n"/>
      <c r="D114" s="19">
        <f>IF(COUNTA(C113:C113)=0,"",SUM(D113:D113))</f>
        <v/>
      </c>
      <c r="E114" s="20">
        <f>IF(COUNTA(C113:C113)=0,"",SUMIF(E113:E113,"Cash",D113:D113))</f>
        <v/>
      </c>
      <c r="F114" s="21">
        <f>IF(COUNTA(C113:C113)=0,"",SUMIF(E113:E113,"Transfer Bank",D113:D113))</f>
        <v/>
      </c>
      <c r="G114" s="19">
        <f>IF(COUNTA(C113:C113)=0,"",SUMIF(F113:F113,"Ambil Obat",G113:G113))</f>
        <v/>
      </c>
      <c r="H114" s="20">
        <f>IF(COUNTA(C113:C113)=0,"",SUMIFS(G113:G113,H113:H113,"Cash",F113:F113,"Ambil Obat"))</f>
        <v/>
      </c>
      <c r="I114" s="21">
        <f>IF(COUNTA(C113:C113)=0,"",SUMIFS(G113:G113,H113:H113,"Transfer Bank",F113:F113,"Ambil Obat"))</f>
        <v/>
      </c>
      <c r="J114" s="22" t="n"/>
      <c r="K114" s="23">
        <f>IF(COUNTA(C113:C113)=0,"",D114+G114)</f>
        <v/>
      </c>
    </row>
    <row r="115" ht="24" customHeight="1" s="314">
      <c r="A115" s="249" t="inlineStr">
        <is>
          <t>📅  Senin, 27 April 2026</t>
        </is>
      </c>
      <c r="B115" s="5" t="n"/>
      <c r="C115" s="5" t="n"/>
      <c r="D115" s="5" t="n"/>
      <c r="E115" s="5" t="n"/>
      <c r="F115" s="5" t="n"/>
      <c r="G115" s="5" t="n"/>
      <c r="H115" s="5" t="n"/>
      <c r="I115" s="5" t="n"/>
      <c r="J115" s="4" t="n"/>
      <c r="K115" s="5" t="n"/>
    </row>
    <row r="116" ht="21.75" customHeight="1" s="314">
      <c r="A116" s="6">
        <f>IF(C116="","",391)</f>
        <v/>
      </c>
      <c r="B116" s="7" t="n">
        <v>46139</v>
      </c>
      <c r="C116" s="8" t="n"/>
      <c r="D116" s="9" t="n">
        <v>0</v>
      </c>
      <c r="E116" s="10" t="inlineStr">
        <is>
          <t>▼</t>
        </is>
      </c>
      <c r="F116" s="10" t="inlineStr">
        <is>
          <t>▼</t>
        </is>
      </c>
      <c r="G116" s="9" t="n">
        <v>0</v>
      </c>
      <c r="H116" s="10" t="inlineStr">
        <is>
          <t>▼</t>
        </is>
      </c>
      <c r="I116" s="9" t="n">
        <v>0</v>
      </c>
      <c r="J116" s="12" t="n"/>
      <c r="K116" s="13" t="inlineStr">
        <is>
          <t>▼</t>
        </is>
      </c>
    </row>
    <row r="117" ht="24" customHeight="1" s="314">
      <c r="A117" s="248">
        <f>IF(COUNTA(C116:C116)=0,"— belum ada data —","📊 Sub-total  "&amp; TEXT(B116,"DD MMM YYYY") &amp;"  ("&amp;COUNTA(C116:C116)&amp;" pasien)")</f>
        <v/>
      </c>
      <c r="B117" s="316" t="n"/>
      <c r="C117" s="316" t="n"/>
      <c r="D117" s="19">
        <f>IF(COUNTA(C116:C116)=0,"",SUM(D116:D116))</f>
        <v/>
      </c>
      <c r="E117" s="20">
        <f>IF(COUNTA(C116:C116)=0,"",SUMIF(E116:E116,"Cash",D116:D116))</f>
        <v/>
      </c>
      <c r="F117" s="21">
        <f>IF(COUNTA(C116:C116)=0,"",SUMIF(E116:E116,"Transfer Bank",D116:D116))</f>
        <v/>
      </c>
      <c r="G117" s="19">
        <f>IF(COUNTA(C116:C116)=0,"",SUMIF(F116:F116,"Ambil Obat",G116:G116))</f>
        <v/>
      </c>
      <c r="H117" s="20">
        <f>IF(COUNTA(C116:C116)=0,"",SUMIFS(G116:G116,H116:H116,"Cash",F116:F116,"Ambil Obat"))</f>
        <v/>
      </c>
      <c r="I117" s="21">
        <f>IF(COUNTA(C116:C116)=0,"",SUMIFS(G116:G116,H116:H116,"Transfer Bank",F116:F116,"Ambil Obat"))</f>
        <v/>
      </c>
      <c r="J117" s="22" t="n"/>
      <c r="K117" s="23">
        <f>IF(COUNTA(C116:C116)=0,"",D117+G117)</f>
        <v/>
      </c>
    </row>
    <row r="118" ht="24" customHeight="1" s="314">
      <c r="A118" s="249" t="inlineStr">
        <is>
          <t>📅  Selasa, 28 April 2026</t>
        </is>
      </c>
      <c r="B118" s="5" t="n"/>
      <c r="C118" s="5" t="n"/>
      <c r="D118" s="5" t="n"/>
      <c r="E118" s="5" t="n"/>
      <c r="F118" s="5" t="n"/>
      <c r="G118" s="5" t="n"/>
      <c r="H118" s="5" t="n"/>
      <c r="I118" s="5" t="n"/>
      <c r="J118" s="4" t="inlineStr">
        <is>
          <t>dr. HAWA</t>
        </is>
      </c>
      <c r="K118" s="5" t="n"/>
    </row>
    <row r="119" ht="21.75" customHeight="1" s="314">
      <c r="A119" s="6" t="n">
        <v>1</v>
      </c>
      <c r="B119" s="7" t="n">
        <v>46140</v>
      </c>
      <c r="C119" s="8" t="n"/>
      <c r="D119" s="9" t="n"/>
      <c r="E119" s="10" t="inlineStr">
        <is>
          <t>▼</t>
        </is>
      </c>
      <c r="F119" s="10" t="inlineStr">
        <is>
          <t>▼</t>
        </is>
      </c>
      <c r="G119" s="9" t="n"/>
      <c r="H119" s="10" t="inlineStr">
        <is>
          <t>▼</t>
        </is>
      </c>
      <c r="I119" s="11">
        <f>IF(C119="","",D119+IF(F119="Ambil Obat",IF(G119="",0,G119),0))</f>
        <v/>
      </c>
      <c r="J119" s="12" t="n"/>
      <c r="K119" s="13" t="inlineStr">
        <is>
          <t>▼</t>
        </is>
      </c>
      <c r="L119" s="25" t="n"/>
      <c r="M119" s="25" t="n"/>
    </row>
    <row r="120" ht="21.75" customHeight="1" s="314">
      <c r="A120" s="6" t="n">
        <v>2</v>
      </c>
      <c r="B120" s="7" t="n">
        <v>46140</v>
      </c>
      <c r="C120" s="14" t="n"/>
      <c r="D120" s="16" t="n"/>
      <c r="E120" s="15" t="inlineStr">
        <is>
          <t>▼</t>
        </is>
      </c>
      <c r="F120" s="15" t="inlineStr">
        <is>
          <t>▼</t>
        </is>
      </c>
      <c r="G120" s="16" t="n"/>
      <c r="H120" s="15" t="inlineStr">
        <is>
          <t>▼</t>
        </is>
      </c>
      <c r="I120" s="17">
        <f>IF(C120="","",D120+IF(F120="Ambil Obat",IF(G120="",0,G120),0))</f>
        <v/>
      </c>
      <c r="J120" s="12" t="n"/>
      <c r="K120" s="18" t="inlineStr">
        <is>
          <t>▼</t>
        </is>
      </c>
    </row>
    <row r="121" ht="21.75" customHeight="1" s="314">
      <c r="A121" s="6" t="n">
        <v>3</v>
      </c>
      <c r="B121" s="7" t="n">
        <v>46140</v>
      </c>
      <c r="C121" s="8" t="n"/>
      <c r="D121" s="9" t="n"/>
      <c r="E121" s="10" t="inlineStr">
        <is>
          <t>▼</t>
        </is>
      </c>
      <c r="F121" s="10" t="inlineStr">
        <is>
          <t>▼</t>
        </is>
      </c>
      <c r="G121" s="9" t="n"/>
      <c r="H121" s="10" t="inlineStr">
        <is>
          <t>▼</t>
        </is>
      </c>
      <c r="I121" s="11">
        <f>IF(C121="","",D121+IF(F121="Ambil Obat",IF(G121="",0,G121),0))</f>
        <v/>
      </c>
      <c r="J121" s="12" t="n"/>
      <c r="K121" s="13" t="inlineStr">
        <is>
          <t>▼</t>
        </is>
      </c>
      <c r="L121" s="25" t="n"/>
      <c r="M121" s="25" t="n"/>
    </row>
    <row r="122" ht="21.75" customHeight="1" s="314">
      <c r="A122" s="6" t="n">
        <v>4</v>
      </c>
      <c r="B122" s="7" t="n">
        <v>46140</v>
      </c>
      <c r="C122" s="14" t="n"/>
      <c r="D122" s="16" t="n"/>
      <c r="E122" s="15" t="inlineStr">
        <is>
          <t>▼</t>
        </is>
      </c>
      <c r="F122" s="15" t="inlineStr">
        <is>
          <t>▼</t>
        </is>
      </c>
      <c r="G122" s="16" t="n"/>
      <c r="H122" s="15" t="inlineStr">
        <is>
          <t>▼</t>
        </is>
      </c>
      <c r="I122" s="17">
        <f>IF(C122="","",D122+IF(F122="Ambil Obat",IF(G122="",0,G122),0))</f>
        <v/>
      </c>
      <c r="J122" s="12" t="n"/>
      <c r="K122" s="18" t="inlineStr">
        <is>
          <t>▼</t>
        </is>
      </c>
    </row>
    <row r="123" ht="24" customHeight="1" s="314">
      <c r="A123" s="248">
        <f>IF(COUNTA(C119:C122)=0,"— belum ada data —","📊 Sub-total  "&amp; TEXT(B119,"DD MMM YYYY") &amp;"  ("&amp;COUNTA(C119:C122)&amp;" pasien)")</f>
        <v/>
      </c>
      <c r="B123" s="316" t="n"/>
      <c r="C123" s="316" t="n"/>
      <c r="D123" s="19">
        <f>IF(COUNTA(C119:C122)=0,"",SUM(D119:D122))</f>
        <v/>
      </c>
      <c r="E123" s="20">
        <f>IF(COUNTA(C119:C122)=0,"",SUMIF(E119:E122,"Cash",D119:D122))</f>
        <v/>
      </c>
      <c r="F123" s="21">
        <f>IF(COUNTA(C119:C122)=0,"",SUMIF(E119:E122,"Transfer Bank",D119:D122))</f>
        <v/>
      </c>
      <c r="G123" s="19">
        <f>IF(COUNTA(C119:C122)=0,"",SUMIF(F119:F122,"Ambil Obat",G119:G122))</f>
        <v/>
      </c>
      <c r="H123" s="20">
        <f>IF(COUNTA(C119:C122)=0,"",SUMIFS(G119:G122,H119:H122,"Cash",F119:F122,"Ambil Obat"))</f>
        <v/>
      </c>
      <c r="I123" s="21">
        <f>IF(COUNTA(C119:C122)=0,"",SUMIFS(G119:G122,H119:H122,"Transfer Bank",F119:F122,"Ambil Obat"))</f>
        <v/>
      </c>
      <c r="J123" s="22" t="n"/>
      <c r="K123" s="23">
        <f>IF(COUNTA(C119:C122)=0,"",D123+G123)</f>
        <v/>
      </c>
      <c r="N123" s="25" t="n"/>
    </row>
    <row r="124" ht="24" customHeight="1" s="314">
      <c r="A124" s="249" t="inlineStr">
        <is>
          <t>📅  Rabu, 29 April 2026</t>
        </is>
      </c>
      <c r="B124" s="5" t="n"/>
      <c r="C124" s="5" t="n"/>
      <c r="D124" s="5" t="n"/>
      <c r="E124" s="5" t="n"/>
      <c r="F124" s="5" t="n"/>
      <c r="G124" s="5" t="n"/>
      <c r="H124" s="5" t="n"/>
      <c r="I124" s="5" t="n"/>
      <c r="J124" s="4" t="inlineStr">
        <is>
          <t>dr. ARIF</t>
        </is>
      </c>
      <c r="K124" s="5" t="n"/>
    </row>
    <row r="125" ht="21.75" customHeight="1" s="314">
      <c r="A125" s="6" t="n">
        <v>1</v>
      </c>
      <c r="B125" s="7" t="n">
        <v>46141</v>
      </c>
      <c r="C125" s="8" t="n"/>
      <c r="D125" s="9" t="n"/>
      <c r="E125" s="10" t="inlineStr">
        <is>
          <t>▼</t>
        </is>
      </c>
      <c r="F125" s="10" t="inlineStr">
        <is>
          <t>▼</t>
        </is>
      </c>
      <c r="G125" s="9" t="n"/>
      <c r="H125" s="10" t="inlineStr">
        <is>
          <t>▼</t>
        </is>
      </c>
      <c r="I125" s="11">
        <f>IF(C125="","",D125+IF(F125="Ambil Obat",IF(G125="",0,G125),0))</f>
        <v/>
      </c>
      <c r="J125" s="12" t="n"/>
      <c r="K125" s="13" t="inlineStr">
        <is>
          <t>▼</t>
        </is>
      </c>
      <c r="L125" s="25" t="n"/>
      <c r="M125" s="25" t="n"/>
    </row>
    <row r="126" ht="21.75" customHeight="1" s="314">
      <c r="A126" s="6" t="n">
        <v>2</v>
      </c>
      <c r="B126" s="7" t="n">
        <v>46141</v>
      </c>
      <c r="C126" s="14" t="n"/>
      <c r="D126" s="16" t="n"/>
      <c r="E126" s="15" t="inlineStr">
        <is>
          <t>▼</t>
        </is>
      </c>
      <c r="F126" s="15" t="inlineStr">
        <is>
          <t>▼</t>
        </is>
      </c>
      <c r="G126" s="16" t="n"/>
      <c r="H126" s="15" t="inlineStr">
        <is>
          <t>▼</t>
        </is>
      </c>
      <c r="I126" s="17">
        <f>IF(C126="","",D126+IF(F126="Ambil Obat",IF(G126="",0,G126),0))</f>
        <v/>
      </c>
      <c r="J126" s="12" t="n"/>
      <c r="K126" s="18" t="inlineStr">
        <is>
          <t>▼</t>
        </is>
      </c>
    </row>
    <row r="127" ht="21.75" customHeight="1" s="314">
      <c r="A127" s="6" t="n">
        <v>3</v>
      </c>
      <c r="B127" s="7" t="n">
        <v>46141</v>
      </c>
      <c r="C127" s="8" t="n"/>
      <c r="D127" s="16" t="n"/>
      <c r="E127" s="10" t="inlineStr">
        <is>
          <t>▼</t>
        </is>
      </c>
      <c r="F127" s="10" t="inlineStr">
        <is>
          <t>▼</t>
        </is>
      </c>
      <c r="G127" s="9" t="n"/>
      <c r="H127" s="10" t="inlineStr">
        <is>
          <t>▼</t>
        </is>
      </c>
      <c r="I127" s="11">
        <f>IF(C127="","",D127+IF(F127="Ambil Obat",IF(G127="",0,G127),0))</f>
        <v/>
      </c>
      <c r="J127" s="12" t="n"/>
      <c r="K127" s="13" t="inlineStr">
        <is>
          <t>▼</t>
        </is>
      </c>
    </row>
    <row r="128" ht="24" customHeight="1" s="314">
      <c r="A128" s="248">
        <f>IF(COUNTA(C125:C127)=0,"— belum ada data —","📊 Sub-total  "&amp; TEXT(B125,"DD MMM YYYY") &amp;"  ("&amp;COUNTA(C125:C127)&amp;" pasien)")</f>
        <v/>
      </c>
      <c r="B128" s="316" t="n"/>
      <c r="C128" s="316" t="n"/>
      <c r="D128" s="19">
        <f>IF(COUNTA(C125:C127)=0,"",SUM(D125:D127))</f>
        <v/>
      </c>
      <c r="E128" s="20">
        <f>IF(COUNTA(C125:C127)=0,"",SUMIF(E125:E127,"Cash",D125:D127))</f>
        <v/>
      </c>
      <c r="F128" s="21">
        <f>IF(COUNTA(C125:C127)=0,"",SUMIF(E125:E127,"Transfer Bank",D125:D127))</f>
        <v/>
      </c>
      <c r="G128" s="19">
        <f>IF(COUNTA(C125:C127)=0,"",SUMIF(F125:F127,"Ambil Obat",G125:G127))</f>
        <v/>
      </c>
      <c r="H128" s="20">
        <f>IF(COUNTA(C125:C127)=0,"",SUMIFS(G125:G127,H125:H127,"Cash",F125:F127,"Ambil Obat"))</f>
        <v/>
      </c>
      <c r="I128" s="21">
        <f>IF(COUNTA(C125:C127)=0,"",SUMIFS(G125:G127,H125:H127,"Transfer Bank",F125:F127,"Ambil Obat"))</f>
        <v/>
      </c>
      <c r="J128" s="22" t="n"/>
      <c r="K128" s="23">
        <f>IF(COUNTA(C125:C127)=0,"",D128+G128)</f>
        <v/>
      </c>
      <c r="N128" s="25" t="n"/>
    </row>
    <row r="129" ht="24" customHeight="1" s="314">
      <c r="A129" s="249" t="inlineStr">
        <is>
          <t>📅  Kamis, 30 April 2026</t>
        </is>
      </c>
      <c r="B129" s="5" t="n"/>
      <c r="C129" s="5" t="n"/>
      <c r="D129" s="5" t="n"/>
      <c r="E129" s="5" t="n"/>
      <c r="F129" s="5" t="n"/>
      <c r="G129" s="5" t="n"/>
      <c r="H129" s="5" t="n"/>
      <c r="I129" s="5" t="n"/>
      <c r="J129" s="4" t="inlineStr">
        <is>
          <t>dr. ARIF</t>
        </is>
      </c>
      <c r="K129" s="5" t="n"/>
    </row>
    <row r="130" ht="21.75" customHeight="1" s="314">
      <c r="A130" s="6" t="n">
        <v>1</v>
      </c>
      <c r="B130" s="7" t="n">
        <v>46142</v>
      </c>
      <c r="C130" s="8" t="n"/>
      <c r="D130" s="9" t="n"/>
      <c r="E130" s="10" t="inlineStr">
        <is>
          <t>▼</t>
        </is>
      </c>
      <c r="F130" s="10" t="inlineStr">
        <is>
          <t>▼</t>
        </is>
      </c>
      <c r="G130" s="9" t="n"/>
      <c r="H130" s="10" t="inlineStr">
        <is>
          <t>▼</t>
        </is>
      </c>
      <c r="I130" s="11">
        <f>IF(C130="","",D130+IF(F130="Ambil Obat",IF(G130="",0,G130),0))</f>
        <v/>
      </c>
      <c r="J130" s="12" t="n"/>
      <c r="K130" s="13" t="inlineStr">
        <is>
          <t>▼</t>
        </is>
      </c>
      <c r="L130" s="25" t="n"/>
    </row>
    <row r="131" ht="24" customHeight="1" s="314">
      <c r="A131" s="248">
        <f>IF(COUNTA(C130:C130)=0,"— belum ada data —","📊 Sub-total  "&amp; TEXT(B130,"DD MMM YYYY") &amp;"  ("&amp;COUNTA(C130:C130)&amp;" pasien)")</f>
        <v/>
      </c>
      <c r="B131" s="316" t="n"/>
      <c r="C131" s="316" t="n"/>
      <c r="D131" s="19">
        <f>IF(COUNTA(C130:C130)=0,"",SUM(D130:D130))</f>
        <v/>
      </c>
      <c r="E131" s="20">
        <f>IF(COUNTA(C130:C130)=0,"",SUMIF(E130:E130,"Cash",D130:D130))</f>
        <v/>
      </c>
      <c r="F131" s="21">
        <f>IF(COUNTA(C130:C130)=0,"",SUMIF(E130:E130,"Transfer Bank",D130:D130))</f>
        <v/>
      </c>
      <c r="G131" s="19">
        <f>IF(COUNTA(C130:C130)=0,"",SUMIF(F130:F130,"Ambil Obat",G130:G130))</f>
        <v/>
      </c>
      <c r="H131" s="20">
        <f>IF(COUNTA(C130:C130)=0,"",SUMIFS(G130:G130,H130:H130,"Cash",F130:F130,"Ambil Obat"))</f>
        <v/>
      </c>
      <c r="I131" s="21">
        <f>IF(COUNTA(C130:C130)=0,"",SUMIFS(G130:G130,H130:H130,"Transfer Bank",F130:F130,"Ambil Obat"))</f>
        <v/>
      </c>
      <c r="J131" s="22" t="n"/>
      <c r="K131" s="23">
        <f>IF(COUNTA(C130:C130)=0,"",D131+G131)</f>
        <v/>
      </c>
    </row>
    <row r="132" ht="24" customHeight="1" s="314">
      <c r="A132" s="249" t="inlineStr">
        <is>
          <t>📅  Jumat, 01 Mei 2026</t>
        </is>
      </c>
      <c r="B132" s="5" t="n"/>
      <c r="C132" s="5" t="n"/>
      <c r="D132" s="5" t="n"/>
      <c r="E132" s="5" t="n"/>
      <c r="F132" s="5" t="n"/>
      <c r="G132" s="5" t="n"/>
      <c r="H132" s="5" t="n"/>
      <c r="I132" s="5" t="n"/>
      <c r="J132" s="4" t="n"/>
      <c r="K132" s="5" t="n"/>
    </row>
    <row r="133" ht="21.75" customHeight="1" s="314">
      <c r="A133" s="6">
        <f>IF(C133="","",451)</f>
        <v/>
      </c>
      <c r="B133" s="7" t="n">
        <v>46143</v>
      </c>
      <c r="C133" s="8" t="n"/>
      <c r="D133" s="9" t="n">
        <v>0</v>
      </c>
      <c r="E133" s="10" t="inlineStr">
        <is>
          <t>▼</t>
        </is>
      </c>
      <c r="F133" s="10" t="inlineStr">
        <is>
          <t>▼</t>
        </is>
      </c>
      <c r="G133" s="9" t="n">
        <v>0</v>
      </c>
      <c r="H133" s="10" t="inlineStr">
        <is>
          <t>▼</t>
        </is>
      </c>
      <c r="I133" s="11">
        <f>IF(C133="","",D133+IF(F133="Ambil Obat",IF(G133="",0,G133),0))</f>
        <v/>
      </c>
      <c r="J133" s="12">
        <f>$J$132</f>
        <v/>
      </c>
      <c r="K133" s="13" t="inlineStr">
        <is>
          <t>▼</t>
        </is>
      </c>
    </row>
    <row r="134" ht="24" customHeight="1" s="314">
      <c r="A134" s="248">
        <f>IF(COUNTA(C133:C133)=0,"— belum ada data —","📊 Sub-total  "&amp; TEXT(B133,"DD MMM YYYY") &amp;"  ("&amp;COUNTA(C133:C133)&amp;" pasien)")</f>
        <v/>
      </c>
      <c r="B134" s="316" t="n"/>
      <c r="C134" s="316" t="n"/>
      <c r="D134" s="19">
        <f>IF(COUNTA(C133:C133)=0,"",SUM(D133:D133))</f>
        <v/>
      </c>
      <c r="E134" s="20">
        <f>IF(COUNTA(C133:C133)=0,"",SUMIF(E133:E133,"Cash",D133:D133))</f>
        <v/>
      </c>
      <c r="F134" s="21">
        <f>IF(COUNTA(C133:C133)=0,"",SUMIF(E133:E133,"Transfer Bank",D133:D133))</f>
        <v/>
      </c>
      <c r="G134" s="19">
        <f>IF(COUNTA(C133:C133)=0,"",SUMIF(F133:F133,"Ambil Obat",G133:G133))</f>
        <v/>
      </c>
      <c r="H134" s="20">
        <f>IF(COUNTA(C133:C133)=0,"",SUMIFS(G133:G133,H133:H133,"Cash",F133:F133,"Ambil Obat"))</f>
        <v/>
      </c>
      <c r="I134" s="21">
        <f>IF(COUNTA(C133:C133)=0,"",SUMIFS(G133:G133,H133:H133,"Transfer Bank",F133:F133,"Ambil Obat"))</f>
        <v/>
      </c>
      <c r="J134" s="22" t="n"/>
      <c r="K134" s="23">
        <f>IF(COUNTA(C133:C133)=0,"",D134+G134)</f>
        <v/>
      </c>
    </row>
    <row r="135" ht="24" customHeight="1" s="314">
      <c r="A135" s="249" t="inlineStr">
        <is>
          <t>📅  Sabtu, 02 Mei 2026</t>
        </is>
      </c>
      <c r="B135" s="5" t="n"/>
      <c r="C135" s="5" t="n"/>
      <c r="D135" s="5" t="n"/>
      <c r="E135" s="5" t="n"/>
      <c r="F135" s="5" t="n"/>
      <c r="G135" s="5" t="n"/>
      <c r="H135" s="5" t="n"/>
      <c r="I135" s="5" t="n"/>
      <c r="J135" s="4" t="inlineStr">
        <is>
          <t>dr. HAWA</t>
        </is>
      </c>
      <c r="K135" s="5" t="n"/>
    </row>
    <row r="136" ht="21.75" customHeight="1" s="314">
      <c r="A136" s="6" t="n">
        <v>1</v>
      </c>
      <c r="B136" s="7" t="n">
        <v>46144</v>
      </c>
      <c r="C136" s="8" t="n"/>
      <c r="D136" s="9" t="n"/>
      <c r="E136" s="10" t="inlineStr">
        <is>
          <t>▼</t>
        </is>
      </c>
      <c r="F136" s="10" t="inlineStr">
        <is>
          <t>▼</t>
        </is>
      </c>
      <c r="G136" s="9" t="n"/>
      <c r="H136" s="10" t="inlineStr">
        <is>
          <t>▼</t>
        </is>
      </c>
      <c r="I136" s="11">
        <f>IF(C136="","",D136+IF(F136="Ambil Obat",IF(G136="",0,G136),0))</f>
        <v/>
      </c>
      <c r="J136" s="12" t="n"/>
      <c r="K136" s="13" t="inlineStr">
        <is>
          <t>▼</t>
        </is>
      </c>
      <c r="L136" s="25" t="n"/>
      <c r="M136" s="25" t="n"/>
    </row>
    <row r="137" ht="21.75" customHeight="1" s="314">
      <c r="A137" s="6" t="n">
        <v>2</v>
      </c>
      <c r="B137" s="7" t="n">
        <v>46144</v>
      </c>
      <c r="C137" s="14" t="n"/>
      <c r="D137" s="9" t="n"/>
      <c r="E137" s="15" t="inlineStr">
        <is>
          <t>▼</t>
        </is>
      </c>
      <c r="F137" s="15" t="inlineStr">
        <is>
          <t>▼</t>
        </is>
      </c>
      <c r="G137" s="16" t="n"/>
      <c r="H137" s="15" t="inlineStr">
        <is>
          <t>▼</t>
        </is>
      </c>
      <c r="I137" s="17">
        <f>IF(C137="","",D137+IF(F137="Ambil Obat",IF(G137="",0,G137),0))</f>
        <v/>
      </c>
      <c r="J137" s="12" t="n"/>
      <c r="K137" s="18" t="inlineStr">
        <is>
          <t>▼</t>
        </is>
      </c>
    </row>
    <row r="138" ht="21.75" customHeight="1" s="314">
      <c r="A138" s="6" t="n">
        <v>3</v>
      </c>
      <c r="B138" s="7" t="n">
        <v>46144</v>
      </c>
      <c r="C138" s="8" t="n"/>
      <c r="D138" s="9" t="n"/>
      <c r="E138" s="10" t="inlineStr">
        <is>
          <t>▼</t>
        </is>
      </c>
      <c r="F138" s="10" t="inlineStr">
        <is>
          <t>▼</t>
        </is>
      </c>
      <c r="G138" s="9" t="n"/>
      <c r="H138" s="10" t="inlineStr">
        <is>
          <t>▼</t>
        </is>
      </c>
      <c r="I138" s="11">
        <f>IF(C138="","",D138+IF(F138="Ambil Obat",IF(G138="",0,G138),0))</f>
        <v/>
      </c>
      <c r="J138" s="12" t="n"/>
      <c r="K138" s="13" t="inlineStr">
        <is>
          <t>▼</t>
        </is>
      </c>
    </row>
    <row r="139" ht="21.75" customHeight="1" s="314">
      <c r="A139" s="6" t="n">
        <v>4</v>
      </c>
      <c r="B139" s="7" t="n">
        <v>46144</v>
      </c>
      <c r="C139" s="14" t="n"/>
      <c r="D139" s="9" t="n"/>
      <c r="E139" s="15" t="inlineStr">
        <is>
          <t>▼</t>
        </is>
      </c>
      <c r="F139" s="15" t="inlineStr">
        <is>
          <t>▼</t>
        </is>
      </c>
      <c r="G139" s="16" t="n"/>
      <c r="H139" s="15" t="inlineStr">
        <is>
          <t>▼</t>
        </is>
      </c>
      <c r="I139" s="17">
        <f>IF(C139="","",D139+IF(F139="Ambil Obat",IF(G139="",0,G139),0))</f>
        <v/>
      </c>
      <c r="J139" s="12" t="n"/>
      <c r="K139" s="18" t="inlineStr">
        <is>
          <t>▼</t>
        </is>
      </c>
    </row>
    <row r="140" ht="21.75" customHeight="1" s="314">
      <c r="A140" s="6" t="n">
        <v>5</v>
      </c>
      <c r="B140" s="7" t="n">
        <v>46144</v>
      </c>
      <c r="C140" s="8" t="n"/>
      <c r="D140" s="9" t="n"/>
      <c r="E140" s="10" t="inlineStr">
        <is>
          <t>▼</t>
        </is>
      </c>
      <c r="F140" s="10" t="inlineStr">
        <is>
          <t>▼</t>
        </is>
      </c>
      <c r="G140" s="9" t="n"/>
      <c r="H140" s="10" t="inlineStr">
        <is>
          <t>▼</t>
        </is>
      </c>
      <c r="I140" s="11">
        <f>IF(C140="","",D140+IF(F140="Ambil Obat",IF(G140="",0,G140),0))</f>
        <v/>
      </c>
      <c r="J140" s="12" t="n"/>
      <c r="K140" s="13" t="inlineStr">
        <is>
          <t>▼</t>
        </is>
      </c>
    </row>
    <row r="141" ht="21.75" customHeight="1" s="314">
      <c r="A141" s="6" t="n">
        <v>6</v>
      </c>
      <c r="B141" s="7" t="n">
        <v>46144</v>
      </c>
      <c r="C141" s="14" t="n"/>
      <c r="D141" s="9" t="n"/>
      <c r="E141" s="15" t="inlineStr">
        <is>
          <t>▼</t>
        </is>
      </c>
      <c r="F141" s="15" t="inlineStr">
        <is>
          <t>▼</t>
        </is>
      </c>
      <c r="G141" s="16" t="n"/>
      <c r="H141" s="15" t="inlineStr">
        <is>
          <t>▼</t>
        </is>
      </c>
      <c r="I141" s="17">
        <f>IF(C141="","",D141+IF(F141="Ambil Obat",IF(G141="",0,G141),0))</f>
        <v/>
      </c>
      <c r="J141" s="12" t="n"/>
      <c r="K141" s="18" t="inlineStr">
        <is>
          <t>▼</t>
        </is>
      </c>
    </row>
    <row r="142" ht="21.75" customHeight="1" s="314">
      <c r="A142" s="6" t="n">
        <v>7</v>
      </c>
      <c r="B142" s="7" t="n">
        <v>46144</v>
      </c>
      <c r="C142" s="8" t="n"/>
      <c r="D142" s="9" t="n"/>
      <c r="E142" s="10" t="inlineStr">
        <is>
          <t>▼</t>
        </is>
      </c>
      <c r="F142" s="10" t="inlineStr">
        <is>
          <t>▼</t>
        </is>
      </c>
      <c r="G142" s="9" t="n"/>
      <c r="H142" s="10" t="inlineStr">
        <is>
          <t>▼</t>
        </is>
      </c>
      <c r="I142" s="11">
        <f>IF(C142="","",D142+IF(F142="Ambil Obat",IF(G142="",0,G142),0))</f>
        <v/>
      </c>
      <c r="J142" s="12" t="n"/>
      <c r="K142" s="13" t="inlineStr">
        <is>
          <t>▼</t>
        </is>
      </c>
    </row>
    <row r="143" ht="21.75" customHeight="1" s="314">
      <c r="A143" s="6" t="n">
        <v>8</v>
      </c>
      <c r="B143" s="7" t="n">
        <v>46144</v>
      </c>
      <c r="C143" s="14" t="n"/>
      <c r="D143" s="9" t="n"/>
      <c r="E143" s="15" t="inlineStr">
        <is>
          <t>▼</t>
        </is>
      </c>
      <c r="F143" s="15" t="inlineStr">
        <is>
          <t>▼</t>
        </is>
      </c>
      <c r="G143" s="16" t="n"/>
      <c r="H143" s="15" t="inlineStr">
        <is>
          <t>▼</t>
        </is>
      </c>
      <c r="I143" s="17">
        <f>IF(C143="","",D143+IF(F143="Ambil Obat",IF(G143="",0,G143),0))</f>
        <v/>
      </c>
      <c r="J143" s="12" t="n"/>
      <c r="K143" s="18" t="inlineStr">
        <is>
          <t>▼</t>
        </is>
      </c>
    </row>
    <row r="144" ht="21.75" customHeight="1" s="314">
      <c r="A144" s="6" t="n">
        <v>9</v>
      </c>
      <c r="B144" s="7" t="n">
        <v>46144</v>
      </c>
      <c r="C144" s="8" t="n"/>
      <c r="D144" s="9" t="n"/>
      <c r="E144" s="10" t="inlineStr">
        <is>
          <t>▼</t>
        </is>
      </c>
      <c r="F144" s="10" t="inlineStr">
        <is>
          <t>▼</t>
        </is>
      </c>
      <c r="G144" s="9" t="n"/>
      <c r="H144" s="10" t="inlineStr">
        <is>
          <t>▼</t>
        </is>
      </c>
      <c r="I144" s="11">
        <f>IF(C144="","",D144+IF(F144="Ambil Obat",IF(G144="",0,G144),0))</f>
        <v/>
      </c>
      <c r="J144" s="12" t="n"/>
      <c r="K144" s="13" t="inlineStr">
        <is>
          <t>▼</t>
        </is>
      </c>
    </row>
    <row r="145" ht="21.75" customHeight="1" s="314">
      <c r="A145" s="6" t="n">
        <v>10</v>
      </c>
      <c r="B145" s="7" t="n">
        <v>46144</v>
      </c>
      <c r="C145" s="14" t="n"/>
      <c r="D145" s="9" t="n"/>
      <c r="E145" s="15" t="inlineStr">
        <is>
          <t>▼</t>
        </is>
      </c>
      <c r="F145" s="15" t="inlineStr">
        <is>
          <t>▼</t>
        </is>
      </c>
      <c r="G145" s="16" t="n"/>
      <c r="H145" s="15" t="inlineStr">
        <is>
          <t>▼</t>
        </is>
      </c>
      <c r="I145" s="17">
        <f>IF(C145="","",D145+IF(F145="Ambil Obat",IF(G145="",0,G145),0))</f>
        <v/>
      </c>
      <c r="J145" s="12" t="n"/>
      <c r="K145" s="18" t="inlineStr">
        <is>
          <t>▼</t>
        </is>
      </c>
    </row>
    <row r="146" ht="24" customHeight="1" s="314">
      <c r="A146" s="248">
        <f>IF(COUNTA(C136:C145)=0,"— belum ada data —","📊 Sub-total  "&amp; TEXT(B136,"DD MMM YYYY") &amp;"  ("&amp;COUNTA(C136:C145)&amp;" pasien)")</f>
        <v/>
      </c>
      <c r="B146" s="316" t="n"/>
      <c r="C146" s="316" t="n"/>
      <c r="D146" s="19">
        <f>IF(COUNTA(C136:C145)=0,"",SUM(D136:D145))</f>
        <v/>
      </c>
      <c r="E146" s="20">
        <f>IF(COUNTA(C136:C145)=0,"",SUMIF(E136:E145,"Cash",D136:D145))</f>
        <v/>
      </c>
      <c r="F146" s="21">
        <f>IF(COUNTA(C136:C145)=0,"",SUMIF(E136:E145,"Transfer Bank",D136:D145))</f>
        <v/>
      </c>
      <c r="G146" s="19">
        <f>IF(COUNTA(C136:C145)=0,"",SUMIF(F136:F145,"Ambil Obat",G136:G145))</f>
        <v/>
      </c>
      <c r="H146" s="20">
        <f>IF(COUNTA(C136:C145)=0,"",SUMIFS(G136:G145,H136:H145,"Cash",F136:F145,"Ambil Obat"))</f>
        <v/>
      </c>
      <c r="I146" s="21">
        <f>IF(COUNTA(C136:C145)=0,"",SUMIFS(G136:G145,H136:H145,"Transfer Bank",F136:F145,"Ambil Obat"))</f>
        <v/>
      </c>
      <c r="J146" s="22" t="n"/>
      <c r="K146" s="23">
        <f>IF(COUNTA(C136:C145)=0,"",D146+G146)</f>
        <v/>
      </c>
    </row>
    <row r="147" ht="24" customHeight="1" s="314">
      <c r="A147" s="249" t="inlineStr">
        <is>
          <t>📅  Minggu, 03 Mei 2026</t>
        </is>
      </c>
      <c r="B147" s="5" t="n"/>
      <c r="C147" s="5" t="n"/>
      <c r="D147" s="5" t="n"/>
      <c r="E147" s="5" t="n"/>
      <c r="F147" s="5" t="n"/>
      <c r="G147" s="5" t="n"/>
      <c r="H147" s="5" t="n"/>
      <c r="I147" s="5" t="n"/>
      <c r="J147" s="4" t="inlineStr">
        <is>
          <t>dr. HAWA</t>
        </is>
      </c>
      <c r="K147" s="5" t="n"/>
    </row>
    <row r="148" ht="21.75" customHeight="1" s="314">
      <c r="A148" s="6" t="n">
        <v>1</v>
      </c>
      <c r="B148" s="7" t="n">
        <v>46145</v>
      </c>
      <c r="C148" s="8" t="n"/>
      <c r="D148" s="9" t="n"/>
      <c r="E148" s="10" t="inlineStr">
        <is>
          <t>▼</t>
        </is>
      </c>
      <c r="F148" s="10" t="inlineStr">
        <is>
          <t>▼</t>
        </is>
      </c>
      <c r="G148" s="9" t="n"/>
      <c r="H148" s="10" t="inlineStr">
        <is>
          <t>▼</t>
        </is>
      </c>
      <c r="I148" s="11">
        <f>IF(C148="","",D148+IF(F148="Ambil Obat",IF(G148="",0,G148),0))</f>
        <v/>
      </c>
      <c r="J148" s="12" t="n"/>
      <c r="K148" s="13" t="inlineStr">
        <is>
          <t>▼</t>
        </is>
      </c>
    </row>
    <row r="149" ht="21.75" customHeight="1" s="314">
      <c r="A149" s="6" t="n">
        <v>2</v>
      </c>
      <c r="B149" s="7" t="n">
        <v>46145</v>
      </c>
      <c r="C149" s="14" t="n"/>
      <c r="D149" s="9" t="n"/>
      <c r="E149" s="15" t="inlineStr">
        <is>
          <t>▼</t>
        </is>
      </c>
      <c r="F149" s="15" t="inlineStr">
        <is>
          <t>▼</t>
        </is>
      </c>
      <c r="G149" s="9" t="n"/>
      <c r="H149" s="15" t="inlineStr">
        <is>
          <t>▼</t>
        </is>
      </c>
      <c r="I149" s="17">
        <f>IF(C149="","",D149+IF(F149="Ambil Obat",IF(G149="",0,G149),0))</f>
        <v/>
      </c>
      <c r="J149" s="12" t="n"/>
      <c r="K149" s="18" t="inlineStr">
        <is>
          <t>▼</t>
        </is>
      </c>
    </row>
    <row r="150" ht="21.75" customHeight="1" s="314">
      <c r="A150" s="6" t="n">
        <v>3</v>
      </c>
      <c r="B150" s="7" t="n">
        <v>46145</v>
      </c>
      <c r="C150" s="8" t="n"/>
      <c r="D150" s="9" t="n"/>
      <c r="E150" s="10" t="inlineStr">
        <is>
          <t>▼</t>
        </is>
      </c>
      <c r="F150" s="10" t="inlineStr">
        <is>
          <t>▼</t>
        </is>
      </c>
      <c r="G150" s="9" t="n"/>
      <c r="H150" s="10" t="inlineStr">
        <is>
          <t>▼</t>
        </is>
      </c>
      <c r="I150" s="11">
        <f>IF(C150="","",D150+IF(F150="Ambil Obat",IF(G150="",0,G150),0))</f>
        <v/>
      </c>
      <c r="J150" s="12" t="n"/>
      <c r="K150" s="13" t="inlineStr">
        <is>
          <t>▼</t>
        </is>
      </c>
    </row>
    <row r="151" ht="24" customHeight="1" s="314">
      <c r="A151" s="248">
        <f>IF(COUNTA(C148:C150)=0,"— belum ada data —","📊 Sub-total  "&amp; TEXT(B148,"DD MMM YYYY") &amp;"  ("&amp;COUNTA(C148:C150)&amp;" pasien)")</f>
        <v/>
      </c>
      <c r="B151" s="316" t="n"/>
      <c r="C151" s="316" t="n"/>
      <c r="D151" s="19">
        <f>IF(COUNTA(C148:C150)=0,"",SUM(D148:D150))</f>
        <v/>
      </c>
      <c r="E151" s="20">
        <f>IF(COUNTA(C148:C150)=0,"",SUMIF(E148:E150,"Cash",D148:D150))</f>
        <v/>
      </c>
      <c r="F151" s="21">
        <f>IF(COUNTA(C148:C150)=0,"",SUMIF(E148:E150,"Transfer Bank",D148:D150))</f>
        <v/>
      </c>
      <c r="G151" s="19">
        <f>IF(COUNTA(C148:C150)=0,"",SUMIF(F148:F150,"Ambil Obat",G148:G150))</f>
        <v/>
      </c>
      <c r="H151" s="20">
        <f>IF(COUNTA(C148:C150)=0,"",SUMIFS(G148:G150,H148:H150,"Cash",F148:F150,"Ambil Obat"))</f>
        <v/>
      </c>
      <c r="I151" s="21">
        <f>IF(COUNTA(C148:C150)=0,"",SUMIFS(G148:G150,H148:H150,"Transfer Bank",F148:F150,"Ambil Obat"))</f>
        <v/>
      </c>
      <c r="J151" s="22" t="n"/>
      <c r="K151" s="23">
        <f>IF(COUNTA(C148:C150)=0,"",D151+G151)</f>
        <v/>
      </c>
    </row>
    <row r="152" ht="24" customHeight="1" s="314">
      <c r="A152" s="249" t="inlineStr">
        <is>
          <t>📅  Senin, 04 Mei 2026</t>
        </is>
      </c>
      <c r="B152" s="5" t="n"/>
      <c r="C152" s="5" t="n"/>
      <c r="D152" s="5" t="n"/>
      <c r="E152" s="5" t="n"/>
      <c r="F152" s="5" t="n"/>
      <c r="G152" s="5" t="n"/>
      <c r="H152" s="5" t="n"/>
      <c r="I152" s="5" t="n"/>
      <c r="J152" s="4" t="inlineStr">
        <is>
          <t>dr. ARIF</t>
        </is>
      </c>
      <c r="K152" s="5" t="n"/>
    </row>
    <row r="153" ht="21.75" customHeight="1" s="314">
      <c r="A153" s="6" t="n">
        <v>1</v>
      </c>
      <c r="B153" s="7" t="n">
        <v>46146</v>
      </c>
      <c r="C153" s="8" t="n"/>
      <c r="D153" s="9" t="n"/>
      <c r="E153" s="10" t="inlineStr">
        <is>
          <t>▼</t>
        </is>
      </c>
      <c r="F153" s="10" t="inlineStr">
        <is>
          <t>▼</t>
        </is>
      </c>
      <c r="G153" s="9" t="n"/>
      <c r="H153" s="10" t="inlineStr">
        <is>
          <t>▼</t>
        </is>
      </c>
      <c r="I153" s="11">
        <f>IF(C153="","",D153+IF(F153="Ambil Obat",IF(G153="",0,G153),0))</f>
        <v/>
      </c>
      <c r="J153" s="12" t="n"/>
      <c r="K153" s="13" t="inlineStr">
        <is>
          <t>▼</t>
        </is>
      </c>
    </row>
    <row r="154" ht="21.75" customHeight="1" s="314">
      <c r="A154" s="6" t="n">
        <v>2</v>
      </c>
      <c r="B154" s="7" t="n">
        <v>46146</v>
      </c>
      <c r="C154" s="14" t="n"/>
      <c r="D154" s="9" t="n"/>
      <c r="E154" s="15" t="inlineStr">
        <is>
          <t>▼</t>
        </is>
      </c>
      <c r="F154" s="15" t="inlineStr">
        <is>
          <t>▼</t>
        </is>
      </c>
      <c r="G154" s="16" t="n"/>
      <c r="H154" s="15" t="inlineStr">
        <is>
          <t>▼</t>
        </is>
      </c>
      <c r="I154" s="17">
        <f>IF(C154="","",D154+IF(F154="Ambil Obat",IF(G154="",0,G154),0))</f>
        <v/>
      </c>
      <c r="J154" s="12" t="n"/>
      <c r="K154" s="18" t="inlineStr">
        <is>
          <t>▼</t>
        </is>
      </c>
    </row>
    <row r="155" ht="21.75" customHeight="1" s="314">
      <c r="A155" s="6" t="n">
        <v>3</v>
      </c>
      <c r="B155" s="7" t="n">
        <v>46146</v>
      </c>
      <c r="C155" s="8" t="n"/>
      <c r="D155" s="9" t="n"/>
      <c r="E155" s="10" t="inlineStr">
        <is>
          <t>▼</t>
        </is>
      </c>
      <c r="F155" s="10" t="inlineStr">
        <is>
          <t>▼</t>
        </is>
      </c>
      <c r="G155" s="9" t="n"/>
      <c r="H155" s="10" t="inlineStr">
        <is>
          <t>▼</t>
        </is>
      </c>
      <c r="I155" s="11">
        <f>IF(C155="","",D155+IF(F155="Ambil Obat",IF(G155="",0,G155),0))</f>
        <v/>
      </c>
      <c r="J155" s="12" t="n"/>
      <c r="K155" s="13" t="inlineStr">
        <is>
          <t>▼</t>
        </is>
      </c>
    </row>
    <row r="156" ht="21.75" customHeight="1" s="314">
      <c r="A156" s="6" t="n">
        <v>4</v>
      </c>
      <c r="B156" s="7" t="n">
        <v>46146</v>
      </c>
      <c r="C156" s="14" t="n"/>
      <c r="D156" s="9" t="n"/>
      <c r="E156" s="15" t="inlineStr">
        <is>
          <t>▼</t>
        </is>
      </c>
      <c r="F156" s="15" t="inlineStr">
        <is>
          <t>▼</t>
        </is>
      </c>
      <c r="G156" s="16" t="n"/>
      <c r="H156" s="15" t="inlineStr">
        <is>
          <t>▼</t>
        </is>
      </c>
      <c r="I156" s="17">
        <f>IF(C156="","",D156+IF(F156="Ambil Obat",IF(G156="",0,G156),0))</f>
        <v/>
      </c>
      <c r="J156" s="12" t="n"/>
      <c r="K156" s="18" t="inlineStr">
        <is>
          <t>▼</t>
        </is>
      </c>
    </row>
    <row r="157" ht="21.75" customHeight="1" s="314">
      <c r="A157" s="6" t="n">
        <v>5</v>
      </c>
      <c r="B157" s="7" t="n">
        <v>46146</v>
      </c>
      <c r="C157" s="8" t="n"/>
      <c r="D157" s="9" t="n"/>
      <c r="E157" s="10" t="inlineStr">
        <is>
          <t>▼</t>
        </is>
      </c>
      <c r="F157" s="10" t="inlineStr">
        <is>
          <t>▼</t>
        </is>
      </c>
      <c r="G157" s="9" t="n"/>
      <c r="H157" s="10" t="inlineStr">
        <is>
          <t>▼</t>
        </is>
      </c>
      <c r="I157" s="11">
        <f>IF(C157="","",D157+IF(F157="Ambil Obat",IF(G157="",0,G157),0))</f>
        <v/>
      </c>
      <c r="J157" s="12" t="n"/>
      <c r="K157" s="13" t="inlineStr">
        <is>
          <t>▼</t>
        </is>
      </c>
    </row>
    <row r="158" ht="21.75" customHeight="1" s="314">
      <c r="A158" s="6" t="n">
        <v>6</v>
      </c>
      <c r="B158" s="7" t="n">
        <v>46146</v>
      </c>
      <c r="C158" s="14" t="n"/>
      <c r="D158" s="9" t="n"/>
      <c r="E158" s="15" t="inlineStr">
        <is>
          <t>▼</t>
        </is>
      </c>
      <c r="F158" s="15" t="inlineStr">
        <is>
          <t>▼</t>
        </is>
      </c>
      <c r="G158" s="16" t="n"/>
      <c r="H158" s="15" t="inlineStr">
        <is>
          <t>▼</t>
        </is>
      </c>
      <c r="I158" s="17">
        <f>IF(C158="","",D158+IF(F158="Ambil Obat",IF(G158="",0,G158),0))</f>
        <v/>
      </c>
      <c r="J158" s="12" t="n"/>
      <c r="K158" s="18" t="inlineStr">
        <is>
          <t>▼</t>
        </is>
      </c>
    </row>
    <row r="159" ht="21.75" customHeight="1" s="314">
      <c r="A159" s="6" t="n">
        <v>7</v>
      </c>
      <c r="B159" s="7" t="n">
        <v>46146</v>
      </c>
      <c r="C159" s="8" t="n"/>
      <c r="D159" s="9" t="n"/>
      <c r="E159" s="10" t="inlineStr">
        <is>
          <t>▼</t>
        </is>
      </c>
      <c r="F159" s="10" t="inlineStr">
        <is>
          <t>▼</t>
        </is>
      </c>
      <c r="G159" s="9" t="n"/>
      <c r="H159" s="10" t="inlineStr">
        <is>
          <t>▼</t>
        </is>
      </c>
      <c r="I159" s="11">
        <f>IF(C159="","",D159+IF(F159="Ambil Obat",IF(G159="",0,G159),0))</f>
        <v/>
      </c>
      <c r="J159" s="12" t="n"/>
      <c r="K159" s="13" t="inlineStr">
        <is>
          <t>▼</t>
        </is>
      </c>
    </row>
    <row r="160" ht="21.75" customHeight="1" s="314">
      <c r="A160" s="6" t="n">
        <v>8</v>
      </c>
      <c r="B160" s="7" t="n">
        <v>46146</v>
      </c>
      <c r="C160" s="14" t="n"/>
      <c r="D160" s="9" t="n"/>
      <c r="E160" s="15" t="inlineStr">
        <is>
          <t>▼</t>
        </is>
      </c>
      <c r="F160" s="15" t="inlineStr">
        <is>
          <t>▼</t>
        </is>
      </c>
      <c r="G160" s="9" t="n"/>
      <c r="H160" s="15" t="inlineStr">
        <is>
          <t>▼</t>
        </is>
      </c>
      <c r="I160" s="17">
        <f>IF(C160="","",D160+IF(F160="Ambil Obat",IF(G160="",0,G160),0))</f>
        <v/>
      </c>
      <c r="J160" s="12" t="n"/>
      <c r="K160" s="18" t="inlineStr">
        <is>
          <t>▼</t>
        </is>
      </c>
    </row>
    <row r="161" ht="21.75" customHeight="1" s="314">
      <c r="A161" s="6" t="n">
        <v>9</v>
      </c>
      <c r="B161" s="7" t="n">
        <v>46146</v>
      </c>
      <c r="C161" s="8" t="n"/>
      <c r="D161" s="9" t="n"/>
      <c r="E161" s="10" t="inlineStr">
        <is>
          <t>▼</t>
        </is>
      </c>
      <c r="F161" s="10" t="inlineStr">
        <is>
          <t>▼</t>
        </is>
      </c>
      <c r="G161" s="9" t="n"/>
      <c r="H161" s="10" t="inlineStr">
        <is>
          <t>▼</t>
        </is>
      </c>
      <c r="I161" s="11">
        <f>IF(C161="","",D161+IF(F161="Ambil Obat",IF(G161="",0,G161),0))</f>
        <v/>
      </c>
      <c r="J161" s="12" t="n"/>
      <c r="K161" s="13" t="inlineStr">
        <is>
          <t>▼</t>
        </is>
      </c>
    </row>
    <row r="162" ht="21.75" customHeight="1" s="314">
      <c r="A162" s="6" t="n">
        <v>10</v>
      </c>
      <c r="B162" s="7" t="n">
        <v>46146</v>
      </c>
      <c r="C162" s="14" t="n"/>
      <c r="D162" s="9" t="n"/>
      <c r="E162" s="15" t="inlineStr">
        <is>
          <t>▼</t>
        </is>
      </c>
      <c r="F162" s="15" t="inlineStr">
        <is>
          <t>▼</t>
        </is>
      </c>
      <c r="G162" s="16" t="n"/>
      <c r="H162" s="15" t="inlineStr">
        <is>
          <t>▼</t>
        </is>
      </c>
      <c r="I162" s="17">
        <f>IF(C162="","",D162+IF(F162="Ambil Obat",IF(G162="",0,G162),0))</f>
        <v/>
      </c>
      <c r="J162" s="12" t="n"/>
      <c r="K162" s="18" t="inlineStr">
        <is>
          <t>▼</t>
        </is>
      </c>
    </row>
    <row r="163" ht="24" customHeight="1" s="314">
      <c r="A163" s="248">
        <f>IF(COUNTA(C153:C162)=0,"— belum ada data —","📊 Sub-total  "&amp; TEXT(B153,"DD MMM YYYY") &amp;"  ("&amp;COUNTA(C153:C162)&amp;" pasien)")</f>
        <v/>
      </c>
      <c r="B163" s="316" t="n"/>
      <c r="C163" s="316" t="n"/>
      <c r="D163" s="19">
        <f>IF(COUNTA(C153:C162)=0,"",SUM(D153:D162))</f>
        <v/>
      </c>
      <c r="E163" s="20">
        <f>IF(COUNTA(C153:C162)=0,"",SUMIF(E153:E162,"Cash",D153:D162))</f>
        <v/>
      </c>
      <c r="F163" s="21">
        <f>IF(COUNTA(C153:C162)=0,"",SUMIF(E153:E162,"Transfer Bank",D153:D162))</f>
        <v/>
      </c>
      <c r="G163" s="19">
        <f>IF(COUNTA(C153:C162)=0,"",SUMIF(F153:F162,"Ambil Obat",G153:G162))</f>
        <v/>
      </c>
      <c r="H163" s="20">
        <f>IF(COUNTA(C153:C162)=0,"",SUMIFS(G153:G162,H153:H162,"Cash",F153:F162,"Ambil Obat"))</f>
        <v/>
      </c>
      <c r="I163" s="21">
        <f>IF(COUNTA(C153:C162)=0,"",SUMIFS(G153:G162,H153:H162,"Transfer Bank",F153:F162,"Ambil Obat"))</f>
        <v/>
      </c>
      <c r="J163" s="22" t="n"/>
      <c r="K163" s="23">
        <f>IF(COUNTA(C153:C162)=0,"",D163+G163)</f>
        <v/>
      </c>
    </row>
    <row r="164" ht="24" customHeight="1" s="314">
      <c r="A164" s="249" t="inlineStr">
        <is>
          <t>📅  Selasa, 05 Mei 2026</t>
        </is>
      </c>
      <c r="B164" s="5" t="n"/>
      <c r="C164" s="5" t="n"/>
      <c r="D164" s="5" t="n"/>
      <c r="E164" s="5" t="n"/>
      <c r="F164" s="5" t="n"/>
      <c r="G164" s="5" t="n"/>
      <c r="H164" s="5" t="n"/>
      <c r="I164" s="5" t="n"/>
      <c r="J164" s="4" t="inlineStr">
        <is>
          <t>dr. HAWA</t>
        </is>
      </c>
      <c r="K164" s="5" t="n"/>
    </row>
    <row r="165" ht="21.75" customHeight="1" s="314">
      <c r="A165" s="6" t="n">
        <v>1</v>
      </c>
      <c r="B165" s="7" t="n">
        <v>46147</v>
      </c>
      <c r="C165" s="8" t="n"/>
      <c r="D165" s="9" t="n"/>
      <c r="E165" s="10" t="inlineStr">
        <is>
          <t>▼</t>
        </is>
      </c>
      <c r="F165" s="10" t="inlineStr">
        <is>
          <t>▼</t>
        </is>
      </c>
      <c r="G165" s="9" t="n"/>
      <c r="H165" s="10" t="inlineStr">
        <is>
          <t>▼</t>
        </is>
      </c>
      <c r="I165" s="11">
        <f>IF(C165="","",D165+IF(F165="Ambil Obat",IF(G165="",0,G165),0))</f>
        <v/>
      </c>
      <c r="J165" s="12" t="n"/>
      <c r="K165" s="13" t="inlineStr">
        <is>
          <t>▼</t>
        </is>
      </c>
    </row>
    <row r="166" ht="21.75" customHeight="1" s="314">
      <c r="A166" s="6" t="n">
        <v>2</v>
      </c>
      <c r="B166" s="7" t="n">
        <v>46147</v>
      </c>
      <c r="C166" s="14" t="n"/>
      <c r="D166" s="9" t="n"/>
      <c r="E166" s="15" t="inlineStr">
        <is>
          <t>▼</t>
        </is>
      </c>
      <c r="F166" s="15" t="inlineStr">
        <is>
          <t>▼</t>
        </is>
      </c>
      <c r="G166" s="16" t="n"/>
      <c r="H166" s="15" t="inlineStr">
        <is>
          <t>▼</t>
        </is>
      </c>
      <c r="I166" s="17">
        <f>IF(C166="","",D166+IF(F166="Ambil Obat",IF(G166="",0,G166),0))</f>
        <v/>
      </c>
      <c r="J166" s="12" t="n"/>
      <c r="K166" s="18" t="inlineStr">
        <is>
          <t>▼</t>
        </is>
      </c>
    </row>
    <row r="167" ht="21.75" customHeight="1" s="314">
      <c r="A167" s="6" t="n">
        <v>3</v>
      </c>
      <c r="B167" s="7" t="n">
        <v>46147</v>
      </c>
      <c r="C167" s="8" t="n"/>
      <c r="D167" s="9" t="n"/>
      <c r="E167" s="10" t="inlineStr">
        <is>
          <t>▼</t>
        </is>
      </c>
      <c r="F167" s="10" t="inlineStr">
        <is>
          <t>▼</t>
        </is>
      </c>
      <c r="G167" s="9" t="n"/>
      <c r="H167" s="10" t="inlineStr">
        <is>
          <t>▼</t>
        </is>
      </c>
      <c r="I167" s="11">
        <f>IF(C167="","",D167+IF(F167="Ambil Obat",IF(G167="",0,G167),0))</f>
        <v/>
      </c>
      <c r="J167" s="12" t="n"/>
      <c r="K167" s="13" t="inlineStr">
        <is>
          <t>▼</t>
        </is>
      </c>
    </row>
    <row r="168" ht="21.75" customHeight="1" s="314">
      <c r="A168" s="6" t="n">
        <v>4</v>
      </c>
      <c r="B168" s="7" t="n">
        <v>46147</v>
      </c>
      <c r="D168" s="9" t="n"/>
      <c r="E168" s="15" t="inlineStr">
        <is>
          <t>▼</t>
        </is>
      </c>
      <c r="F168" s="15" t="inlineStr">
        <is>
          <t>▼</t>
        </is>
      </c>
      <c r="G168" s="16" t="n"/>
      <c r="H168" s="15" t="inlineStr">
        <is>
          <t>▼</t>
        </is>
      </c>
      <c r="I168" s="17">
        <f>IF(C169="","",D168+IF(F168="Ambil Obat",IF(G168="",0,G168),0))</f>
        <v/>
      </c>
      <c r="J168" s="12" t="n"/>
      <c r="K168" s="18" t="inlineStr">
        <is>
          <t>▼</t>
        </is>
      </c>
    </row>
    <row r="169" ht="21.75" customHeight="1" s="314">
      <c r="A169" s="6" t="n">
        <v>5</v>
      </c>
      <c r="B169" s="7" t="n">
        <v>46147</v>
      </c>
      <c r="C169" s="14" t="n"/>
      <c r="D169" s="9" t="n"/>
      <c r="E169" s="10" t="inlineStr">
        <is>
          <t>▼</t>
        </is>
      </c>
      <c r="F169" s="10" t="inlineStr">
        <is>
          <t>▼</t>
        </is>
      </c>
      <c r="G169" s="16" t="n"/>
      <c r="H169" s="10" t="inlineStr">
        <is>
          <t>▼</t>
        </is>
      </c>
      <c r="I169" s="11">
        <f>IF(C170="","",D169+IF(F169="Ambil Obat",IF(G169="",0,G169),0))</f>
        <v/>
      </c>
      <c r="J169" s="12" t="n"/>
      <c r="K169" s="13" t="inlineStr">
        <is>
          <t>▼</t>
        </is>
      </c>
    </row>
    <row r="170" ht="21.75" customHeight="1" s="314">
      <c r="A170" s="6" t="n">
        <v>6</v>
      </c>
      <c r="B170" s="7" t="n">
        <v>46147</v>
      </c>
      <c r="C170" s="8" t="n"/>
      <c r="D170" s="9" t="n"/>
      <c r="E170" s="15" t="inlineStr">
        <is>
          <t>▼</t>
        </is>
      </c>
      <c r="F170" s="15" t="inlineStr">
        <is>
          <t>▼</t>
        </is>
      </c>
      <c r="G170" s="16" t="n"/>
      <c r="H170" s="15" t="inlineStr">
        <is>
          <t>▼</t>
        </is>
      </c>
      <c r="I170" s="17">
        <f>IF(C171="","",D170+IF(F170="Ambil Obat",IF(G170="",0,G170),0))</f>
        <v/>
      </c>
      <c r="J170" s="12" t="n"/>
      <c r="K170" s="18" t="inlineStr">
        <is>
          <t>▼</t>
        </is>
      </c>
    </row>
    <row r="171" ht="21.75" customHeight="1" s="314">
      <c r="A171" s="6" t="n">
        <v>7</v>
      </c>
      <c r="B171" s="7" t="n">
        <v>46147</v>
      </c>
      <c r="C171" s="14" t="n"/>
      <c r="D171" s="9" t="n"/>
      <c r="E171" s="10" t="inlineStr">
        <is>
          <t>▼</t>
        </is>
      </c>
      <c r="F171" s="10" t="inlineStr">
        <is>
          <t>▼</t>
        </is>
      </c>
      <c r="G171" s="9" t="n"/>
      <c r="H171" s="10" t="inlineStr">
        <is>
          <t>▼</t>
        </is>
      </c>
      <c r="I171" s="11">
        <f>IF(C172="","",D171+IF(F171="Ambil Obat",IF(G171="",0,G171),0))</f>
        <v/>
      </c>
      <c r="J171" s="12" t="n"/>
      <c r="K171" s="13" t="inlineStr">
        <is>
          <t>▼</t>
        </is>
      </c>
    </row>
    <row r="172" ht="21.75" customHeight="1" s="314">
      <c r="A172" s="6" t="n">
        <v>8</v>
      </c>
      <c r="B172" s="7" t="n">
        <v>46147</v>
      </c>
      <c r="C172" s="14" t="n"/>
      <c r="D172" s="9" t="n"/>
      <c r="E172" s="15" t="inlineStr">
        <is>
          <t>▼</t>
        </is>
      </c>
      <c r="F172" s="15" t="inlineStr">
        <is>
          <t>▼</t>
        </is>
      </c>
      <c r="G172" s="16" t="n"/>
      <c r="H172" s="15" t="inlineStr">
        <is>
          <t>▼</t>
        </is>
      </c>
      <c r="I172" s="17">
        <f>IF(C172="","",D172+IF(F172="Ambil Obat",IF(G172="",0,G172),0))</f>
        <v/>
      </c>
      <c r="J172" s="12" t="n"/>
      <c r="K172" s="18" t="inlineStr">
        <is>
          <t>▼</t>
        </is>
      </c>
    </row>
    <row r="173" ht="21.75" customHeight="1" s="314">
      <c r="A173" s="6" t="n">
        <v>9</v>
      </c>
      <c r="B173" s="7" t="n">
        <v>46147</v>
      </c>
      <c r="C173" s="8" t="n"/>
      <c r="D173" s="9" t="n"/>
      <c r="E173" s="10" t="inlineStr">
        <is>
          <t>▼</t>
        </is>
      </c>
      <c r="F173" s="10" t="inlineStr">
        <is>
          <t>▼</t>
        </is>
      </c>
      <c r="G173" s="9" t="n"/>
      <c r="H173" s="10" t="inlineStr">
        <is>
          <t>▼</t>
        </is>
      </c>
      <c r="I173" s="11">
        <f>IF(C173="","",D173+IF(F173="Ambil Obat",IF(G173="",0,G173),0))</f>
        <v/>
      </c>
      <c r="J173" s="12" t="n"/>
      <c r="K173" s="13" t="inlineStr">
        <is>
          <t>▼</t>
        </is>
      </c>
    </row>
    <row r="174" ht="21.75" customHeight="1" s="314">
      <c r="A174" s="6" t="n">
        <v>10</v>
      </c>
      <c r="B174" s="7" t="n">
        <v>46147</v>
      </c>
      <c r="C174" s="14" t="n"/>
      <c r="D174" s="9" t="n"/>
      <c r="E174" s="15" t="inlineStr">
        <is>
          <t>▼</t>
        </is>
      </c>
      <c r="F174" s="15" t="inlineStr">
        <is>
          <t>▼</t>
        </is>
      </c>
      <c r="G174" s="16" t="n"/>
      <c r="H174" s="15" t="inlineStr">
        <is>
          <t>▼</t>
        </is>
      </c>
      <c r="I174" s="17">
        <f>IF(C174="","",D174+IF(F174="Ambil Obat",IF(G174="",0,G174),0))</f>
        <v/>
      </c>
      <c r="J174" s="12" t="n"/>
      <c r="K174" s="18" t="inlineStr">
        <is>
          <t>▼</t>
        </is>
      </c>
    </row>
    <row r="175" ht="21.75" customHeight="1" s="314">
      <c r="A175" s="6" t="n">
        <v>11</v>
      </c>
      <c r="B175" s="7" t="n">
        <v>46147</v>
      </c>
      <c r="C175" s="8" t="n"/>
      <c r="D175" s="9" t="n"/>
      <c r="E175" s="10" t="inlineStr">
        <is>
          <t>▼</t>
        </is>
      </c>
      <c r="F175" s="10" t="inlineStr">
        <is>
          <t>▼</t>
        </is>
      </c>
      <c r="G175" s="9" t="n"/>
      <c r="H175" s="10" t="inlineStr">
        <is>
          <t>▼</t>
        </is>
      </c>
      <c r="I175" s="11">
        <f>IF(C175="","",D175+IF(F175="Ambil Obat",IF(G175="",0,G175),0))</f>
        <v/>
      </c>
      <c r="J175" s="12" t="n"/>
      <c r="K175" s="13" t="inlineStr">
        <is>
          <t>▼</t>
        </is>
      </c>
    </row>
    <row r="176" ht="21.75" customHeight="1" s="314">
      <c r="A176" s="6" t="n">
        <v>12</v>
      </c>
      <c r="B176" s="7" t="n">
        <v>46147</v>
      </c>
      <c r="C176" s="14" t="n"/>
      <c r="D176" s="9" t="n"/>
      <c r="E176" s="15" t="inlineStr">
        <is>
          <t>▼</t>
        </is>
      </c>
      <c r="F176" s="15" t="inlineStr">
        <is>
          <t>▼</t>
        </is>
      </c>
      <c r="G176" s="16" t="n"/>
      <c r="H176" s="15" t="inlineStr">
        <is>
          <t>▼</t>
        </is>
      </c>
      <c r="I176" s="17">
        <f>IF(C176="","",D176+IF(F176="Ambil Obat",IF(G176="",0,G176),0))</f>
        <v/>
      </c>
      <c r="J176" s="12" t="n"/>
      <c r="K176" s="18" t="inlineStr">
        <is>
          <t>▼</t>
        </is>
      </c>
    </row>
    <row r="177" ht="21.75" customHeight="1" s="314">
      <c r="A177" s="6" t="n">
        <v>13</v>
      </c>
      <c r="B177" s="7" t="n">
        <v>46147</v>
      </c>
      <c r="C177" s="14" t="n"/>
      <c r="D177" s="9" t="n"/>
      <c r="E177" s="15" t="inlineStr">
        <is>
          <t>▼</t>
        </is>
      </c>
      <c r="F177" s="15" t="inlineStr">
        <is>
          <t>▼</t>
        </is>
      </c>
      <c r="G177" s="16" t="n"/>
      <c r="H177" s="15" t="inlineStr">
        <is>
          <t>▼</t>
        </is>
      </c>
      <c r="I177" s="17">
        <f>IF(C177="","",D177+IF(F177="Ambil Obat",IF(G177="",0,G177),0))</f>
        <v/>
      </c>
      <c r="J177" s="12" t="n"/>
      <c r="K177" s="18" t="inlineStr">
        <is>
          <t>▼</t>
        </is>
      </c>
    </row>
    <row r="178" ht="21.75" customHeight="1" s="314">
      <c r="A178" s="6" t="n">
        <v>14</v>
      </c>
      <c r="B178" s="7" t="n">
        <v>46147</v>
      </c>
      <c r="C178" s="14" t="n"/>
      <c r="D178" s="9" t="n"/>
      <c r="E178" s="15" t="inlineStr">
        <is>
          <t>▼</t>
        </is>
      </c>
      <c r="F178" s="15" t="inlineStr">
        <is>
          <t>▼</t>
        </is>
      </c>
      <c r="G178" s="16" t="n"/>
      <c r="H178" s="15" t="inlineStr">
        <is>
          <t>▼</t>
        </is>
      </c>
      <c r="I178" s="17">
        <f>IF(C178="","",D178+IF(F178="Ambil Obat",IF(G178="",0,G178),0))</f>
        <v/>
      </c>
      <c r="J178" s="12" t="n"/>
      <c r="K178" s="18" t="inlineStr">
        <is>
          <t>▼</t>
        </is>
      </c>
    </row>
    <row r="179" ht="21.75" customHeight="1" s="314">
      <c r="A179" s="6" t="n">
        <v>15</v>
      </c>
      <c r="B179" s="7" t="n">
        <v>46147</v>
      </c>
      <c r="C179" s="8" t="n"/>
      <c r="D179" s="9" t="n"/>
      <c r="E179" s="10" t="inlineStr">
        <is>
          <t>▼</t>
        </is>
      </c>
      <c r="F179" s="10" t="inlineStr">
        <is>
          <t>▼</t>
        </is>
      </c>
      <c r="G179" s="9" t="n"/>
      <c r="H179" s="10" t="inlineStr">
        <is>
          <t>▼</t>
        </is>
      </c>
      <c r="I179" s="11">
        <f>IF(C179="","",D179+IF(F179="Ambil Obat",IF(G179="",0,G179),0))</f>
        <v/>
      </c>
      <c r="J179" s="12" t="n"/>
      <c r="K179" s="13" t="inlineStr">
        <is>
          <t>▼</t>
        </is>
      </c>
    </row>
    <row r="180" ht="21.75" customHeight="1" s="314">
      <c r="A180" s="6" t="n">
        <v>16</v>
      </c>
      <c r="B180" s="7" t="n">
        <v>46147</v>
      </c>
      <c r="C180" s="14" t="n"/>
      <c r="D180" s="9" t="n"/>
      <c r="E180" s="15" t="inlineStr">
        <is>
          <t>▼</t>
        </is>
      </c>
      <c r="F180" s="15" t="inlineStr">
        <is>
          <t>▼</t>
        </is>
      </c>
      <c r="G180" s="16" t="n"/>
      <c r="H180" s="15" t="inlineStr">
        <is>
          <t>▼</t>
        </is>
      </c>
      <c r="I180" s="17">
        <f>IF(C180="","",D180+IF(F180="Ambil Obat",IF(G180="",0,G180),0))</f>
        <v/>
      </c>
      <c r="J180" s="12" t="n"/>
      <c r="K180" s="18" t="inlineStr">
        <is>
          <t>▼</t>
        </is>
      </c>
    </row>
    <row r="181" ht="21.75" customHeight="1" s="314">
      <c r="A181" s="6" t="n">
        <v>17</v>
      </c>
      <c r="B181" s="7" t="n">
        <v>46147</v>
      </c>
      <c r="C181" s="8" t="n"/>
      <c r="D181" s="9" t="n"/>
      <c r="E181" s="10" t="inlineStr">
        <is>
          <t>▼</t>
        </is>
      </c>
      <c r="F181" s="10" t="inlineStr">
        <is>
          <t>▼</t>
        </is>
      </c>
      <c r="G181" s="9" t="n"/>
      <c r="H181" s="10" t="inlineStr">
        <is>
          <t>▼</t>
        </is>
      </c>
      <c r="I181" s="11">
        <f>IF(C181="","",D181+IF(F181="Ambil Obat",IF(G181="",0,G181),0))</f>
        <v/>
      </c>
      <c r="J181" s="12" t="n"/>
      <c r="K181" s="13" t="inlineStr">
        <is>
          <t>▼</t>
        </is>
      </c>
    </row>
    <row r="182" ht="24" customHeight="1" s="314">
      <c r="A182" s="248">
        <f>IF(COUNTA(C165:C181)=0,"— belum ada data —","📊 Sub-total  "&amp; TEXT(B165,"DD MMM YYYY") &amp;"  ("&amp;COUNTA(C165:C181)&amp;" pasien)")</f>
        <v/>
      </c>
      <c r="B182" s="316" t="n"/>
      <c r="C182" s="316" t="n"/>
      <c r="D182" s="19">
        <f>IF(COUNTA(C165:C181)=0,"",SUM(D165:D181))</f>
        <v/>
      </c>
      <c r="E182" s="20">
        <f>IF(COUNTA(C165:C181)=0,"",SUMIF(E165:E181,"Cash",D165:D181))</f>
        <v/>
      </c>
      <c r="F182" s="21">
        <f>IF(COUNTA(C165:C181)=0,"",SUMIF(E165:E181,"Transfer Bank",D165:D181))</f>
        <v/>
      </c>
      <c r="G182" s="19">
        <f>IF(COUNTA(C165:C181)=0,"",SUMIF(F165:F181,"Ambil Obat",G165:G181))</f>
        <v/>
      </c>
      <c r="H182" s="20">
        <f>IF(COUNTA(C165:C181)=0,"",SUMIFS(G165:G181,H165:H181,"Cash",F165:F181,"Ambil Obat"))</f>
        <v/>
      </c>
      <c r="I182" s="21">
        <f>IF(COUNTA(C165:C181)=0,"",SUMIFS(G165:G181,H165:H181,"Transfer Bank",F165:F181,"Ambil Obat"))</f>
        <v/>
      </c>
      <c r="J182" s="22" t="n"/>
      <c r="K182" s="23">
        <f>IF(COUNTA(C165:C181)=0,"",D182+G182)</f>
        <v/>
      </c>
    </row>
    <row r="183" ht="24" customHeight="1" s="314">
      <c r="A183" s="249" t="inlineStr">
        <is>
          <t>📅  Rabu, 06 Mei 2026</t>
        </is>
      </c>
      <c r="B183" s="5" t="n"/>
      <c r="C183" s="5" t="n"/>
      <c r="D183" s="5" t="n"/>
      <c r="E183" s="5" t="n"/>
      <c r="F183" s="5" t="n"/>
      <c r="G183" s="5" t="n"/>
      <c r="H183" s="5" t="n"/>
      <c r="I183" s="5" t="n"/>
      <c r="J183" s="4" t="inlineStr">
        <is>
          <t>dr. ARIF</t>
        </is>
      </c>
      <c r="K183" s="5" t="n"/>
    </row>
    <row r="184" ht="21.75" customHeight="1" s="314">
      <c r="A184" s="6" t="n">
        <v>1</v>
      </c>
      <c r="B184" s="7" t="n">
        <v>46148</v>
      </c>
      <c r="C184" s="8" t="n"/>
      <c r="D184" s="9" t="n"/>
      <c r="E184" s="10" t="inlineStr">
        <is>
          <t>▼</t>
        </is>
      </c>
      <c r="F184" s="10" t="inlineStr">
        <is>
          <t>▼</t>
        </is>
      </c>
      <c r="G184" s="9" t="n"/>
      <c r="H184" s="10" t="inlineStr">
        <is>
          <t>▼</t>
        </is>
      </c>
      <c r="I184" s="11">
        <f>IF(C184="","",D184+IF(F184="Ambil Obat",IF(G184="",0,G184),0))</f>
        <v/>
      </c>
      <c r="J184" s="12" t="n"/>
      <c r="K184" s="13" t="inlineStr">
        <is>
          <t>▼</t>
        </is>
      </c>
    </row>
    <row r="185" ht="21.75" customHeight="1" s="314">
      <c r="A185" s="6" t="n">
        <v>2</v>
      </c>
      <c r="B185" s="7" t="n">
        <v>46148</v>
      </c>
      <c r="C185" s="14" t="n"/>
      <c r="D185" s="16" t="n"/>
      <c r="E185" s="15" t="inlineStr">
        <is>
          <t>▼</t>
        </is>
      </c>
      <c r="F185" s="15" t="inlineStr">
        <is>
          <t>▼</t>
        </is>
      </c>
      <c r="G185" s="9" t="n"/>
      <c r="H185" s="15" t="inlineStr">
        <is>
          <t>▼</t>
        </is>
      </c>
      <c r="I185" s="17">
        <f>IF(C185="","",D185+IF(F185="Ambil Obat",IF(G185="",0,G185),0))</f>
        <v/>
      </c>
      <c r="J185" s="12" t="n"/>
      <c r="K185" s="18" t="inlineStr">
        <is>
          <t>▼</t>
        </is>
      </c>
    </row>
    <row r="186" ht="21.75" customHeight="1" s="314">
      <c r="A186" s="6" t="n">
        <v>3</v>
      </c>
      <c r="B186" s="7" t="n">
        <v>46148</v>
      </c>
      <c r="C186" s="8" t="n"/>
      <c r="D186" s="16" t="n"/>
      <c r="E186" s="10" t="inlineStr">
        <is>
          <t>▼</t>
        </is>
      </c>
      <c r="F186" s="10" t="inlineStr">
        <is>
          <t>▼</t>
        </is>
      </c>
      <c r="G186" s="9" t="n"/>
      <c r="H186" s="10" t="inlineStr">
        <is>
          <t>▼</t>
        </is>
      </c>
      <c r="I186" s="11">
        <f>IF(C186="","",D186+IF(F186="Ambil Obat",IF(G186="",0,G186),0))</f>
        <v/>
      </c>
      <c r="J186" s="12" t="n"/>
      <c r="K186" s="13" t="inlineStr">
        <is>
          <t>▼</t>
        </is>
      </c>
    </row>
    <row r="187" ht="21.75" customHeight="1" s="314">
      <c r="A187" s="6" t="n">
        <v>4</v>
      </c>
      <c r="B187" s="7" t="n">
        <v>46148</v>
      </c>
      <c r="C187" s="14" t="n"/>
      <c r="D187" s="9" t="n"/>
      <c r="E187" s="15" t="inlineStr">
        <is>
          <t>▼</t>
        </is>
      </c>
      <c r="F187" s="15" t="inlineStr">
        <is>
          <t>▼</t>
        </is>
      </c>
      <c r="G187" s="9" t="n"/>
      <c r="H187" s="15" t="inlineStr">
        <is>
          <t>▼</t>
        </is>
      </c>
      <c r="I187" s="17">
        <f>IF(C187="","",D187+IF(F187="Ambil Obat",IF(G187="",0,G187),0))</f>
        <v/>
      </c>
      <c r="J187" s="12" t="n"/>
      <c r="K187" s="18" t="inlineStr">
        <is>
          <t>▼</t>
        </is>
      </c>
    </row>
    <row r="188" ht="21.75" customHeight="1" s="314">
      <c r="A188" s="6" t="n">
        <v>5</v>
      </c>
      <c r="B188" s="7" t="n">
        <v>46148</v>
      </c>
      <c r="C188" s="8" t="n"/>
      <c r="D188" s="16" t="n"/>
      <c r="E188" s="10" t="inlineStr">
        <is>
          <t>▼</t>
        </is>
      </c>
      <c r="F188" s="10" t="inlineStr">
        <is>
          <t>▼</t>
        </is>
      </c>
      <c r="G188" s="9" t="n"/>
      <c r="H188" s="10" t="inlineStr">
        <is>
          <t>▼</t>
        </is>
      </c>
      <c r="I188" s="11">
        <f>IF(C188="","",D188+IF(F188="Ambil Obat",IF(G188="",0,G188),0))</f>
        <v/>
      </c>
      <c r="J188" s="12" t="n"/>
      <c r="K188" s="13" t="inlineStr">
        <is>
          <t>▼</t>
        </is>
      </c>
    </row>
    <row r="189" ht="21.75" customHeight="1" s="314">
      <c r="A189" s="6" t="n">
        <v>6</v>
      </c>
      <c r="B189" s="7" t="n">
        <v>46148</v>
      </c>
      <c r="C189" s="14" t="n"/>
      <c r="D189" s="16" t="n"/>
      <c r="E189" s="15" t="inlineStr">
        <is>
          <t>▼</t>
        </is>
      </c>
      <c r="F189" s="15" t="inlineStr">
        <is>
          <t>▼</t>
        </is>
      </c>
      <c r="G189" s="16" t="n"/>
      <c r="H189" s="15" t="inlineStr">
        <is>
          <t>▼</t>
        </is>
      </c>
      <c r="I189" s="17">
        <f>IF(C189="","",D189+IF(F189="Ambil Obat",IF(G189="",0,G189),0))</f>
        <v/>
      </c>
      <c r="J189" s="12" t="n"/>
      <c r="K189" s="18" t="inlineStr">
        <is>
          <t>▼</t>
        </is>
      </c>
    </row>
    <row r="190" ht="21.75" customHeight="1" s="314">
      <c r="A190" s="6" t="n">
        <v>7</v>
      </c>
      <c r="B190" s="7" t="n">
        <v>46148</v>
      </c>
      <c r="C190" s="8" t="n"/>
      <c r="D190" s="16" t="n"/>
      <c r="E190" s="10" t="inlineStr">
        <is>
          <t>▼</t>
        </is>
      </c>
      <c r="F190" s="10" t="inlineStr">
        <is>
          <t>▼</t>
        </is>
      </c>
      <c r="G190" s="16" t="n"/>
      <c r="H190" s="10" t="inlineStr">
        <is>
          <t>▼</t>
        </is>
      </c>
      <c r="I190" s="11">
        <f>IF(C190="","",D190+IF(F190="Ambil Obat",IF(G190="",0,G190),0))</f>
        <v/>
      </c>
      <c r="J190" s="12" t="n"/>
      <c r="K190" s="13" t="inlineStr">
        <is>
          <t>▼</t>
        </is>
      </c>
    </row>
    <row r="191" ht="21.75" customHeight="1" s="314">
      <c r="A191" s="6" t="n">
        <v>8</v>
      </c>
      <c r="B191" s="7" t="n">
        <v>46148</v>
      </c>
      <c r="C191" s="14" t="n"/>
      <c r="D191" s="16" t="n"/>
      <c r="E191" s="15" t="inlineStr">
        <is>
          <t>▼</t>
        </is>
      </c>
      <c r="F191" s="15" t="inlineStr">
        <is>
          <t>▼</t>
        </is>
      </c>
      <c r="G191" s="16" t="n"/>
      <c r="H191" s="15" t="inlineStr">
        <is>
          <t>▼</t>
        </is>
      </c>
      <c r="I191" s="17">
        <f>IF(C191="","",D191+IF(F191="Ambil Obat",IF(G191="",0,G191),0))</f>
        <v/>
      </c>
      <c r="J191" s="12" t="n"/>
      <c r="K191" s="18" t="inlineStr">
        <is>
          <t>▼</t>
        </is>
      </c>
    </row>
    <row r="192" ht="21.75" customHeight="1" s="314">
      <c r="A192" s="6" t="n">
        <v>9</v>
      </c>
      <c r="B192" s="7" t="n">
        <v>46148</v>
      </c>
      <c r="C192" s="8" t="n"/>
      <c r="D192" s="16" t="n"/>
      <c r="E192" s="10" t="inlineStr">
        <is>
          <t>▼</t>
        </is>
      </c>
      <c r="F192" s="10" t="inlineStr">
        <is>
          <t>▼</t>
        </is>
      </c>
      <c r="G192" s="9" t="n"/>
      <c r="H192" s="10" t="inlineStr">
        <is>
          <t>▼</t>
        </is>
      </c>
      <c r="I192" s="11">
        <f>IF(C192="","",D192+IF(F192="Ambil Obat",IF(G192="",0,G192),0))</f>
        <v/>
      </c>
      <c r="J192" s="12" t="n"/>
      <c r="K192" s="13" t="inlineStr">
        <is>
          <t>▼</t>
        </is>
      </c>
    </row>
    <row r="193" ht="21.75" customHeight="1" s="314">
      <c r="A193" s="6" t="n">
        <v>10</v>
      </c>
      <c r="B193" s="7" t="n">
        <v>46148</v>
      </c>
      <c r="C193" s="14" t="n"/>
      <c r="D193" s="16" t="n"/>
      <c r="E193" s="15" t="inlineStr">
        <is>
          <t>▼</t>
        </is>
      </c>
      <c r="F193" s="15" t="inlineStr">
        <is>
          <t>▼</t>
        </is>
      </c>
      <c r="G193" s="16" t="n"/>
      <c r="H193" s="15" t="inlineStr">
        <is>
          <t>▼</t>
        </is>
      </c>
      <c r="I193" s="17">
        <f>IF(C193="","",D193+IF(F193="Ambil Obat",IF(G193="",0,G193),0))</f>
        <v/>
      </c>
      <c r="J193" s="12" t="n"/>
      <c r="K193" s="18" t="inlineStr">
        <is>
          <t>▼</t>
        </is>
      </c>
    </row>
    <row r="194" ht="21.75" customHeight="1" s="314">
      <c r="A194" s="6" t="n">
        <v>11</v>
      </c>
      <c r="B194" s="7" t="n">
        <v>46148</v>
      </c>
      <c r="C194" s="8" t="n"/>
      <c r="D194" s="16" t="n"/>
      <c r="E194" s="10" t="inlineStr">
        <is>
          <t>▼</t>
        </is>
      </c>
      <c r="F194" s="10" t="inlineStr">
        <is>
          <t>▼</t>
        </is>
      </c>
      <c r="G194" s="9" t="n"/>
      <c r="H194" s="10" t="inlineStr">
        <is>
          <t>▼</t>
        </is>
      </c>
      <c r="I194" s="11">
        <f>IF(C194="","",D194+IF(F194="Ambil Obat",IF(G194="",0,G194),0))</f>
        <v/>
      </c>
      <c r="J194" s="12" t="n"/>
      <c r="K194" s="13" t="inlineStr">
        <is>
          <t>▼</t>
        </is>
      </c>
    </row>
    <row r="195" ht="21.75" customHeight="1" s="314">
      <c r="A195" s="6" t="n">
        <v>12</v>
      </c>
      <c r="B195" s="7" t="n">
        <v>46148</v>
      </c>
      <c r="C195" s="14" t="n"/>
      <c r="D195" s="16" t="n"/>
      <c r="E195" s="15" t="inlineStr">
        <is>
          <t>▼</t>
        </is>
      </c>
      <c r="F195" s="15" t="inlineStr">
        <is>
          <t>▼</t>
        </is>
      </c>
      <c r="G195" s="16" t="n"/>
      <c r="H195" s="15" t="inlineStr">
        <is>
          <t>▼</t>
        </is>
      </c>
      <c r="I195" s="17">
        <f>IF(C195="","",D195+IF(F195="Ambil Obat",IF(G195="",0,G195),0))</f>
        <v/>
      </c>
      <c r="J195" s="12" t="n"/>
      <c r="K195" s="18" t="inlineStr">
        <is>
          <t>▼</t>
        </is>
      </c>
    </row>
    <row r="196" ht="24" customHeight="1" s="314">
      <c r="A196" s="248">
        <f>IF(COUNTA(C184:C195)=0,"— belum ada data —","📊 Sub-total  "&amp; TEXT(B184,"DD MMM YYYY") &amp;"  ("&amp;COUNTA(C184:C195)&amp;" pasien)")</f>
        <v/>
      </c>
      <c r="B196" s="316" t="n"/>
      <c r="C196" s="316" t="n"/>
      <c r="D196" s="19">
        <f>IF(COUNTA(C184:C195)=0,"",SUM(D184:D195))</f>
        <v/>
      </c>
      <c r="E196" s="20">
        <f>IF(COUNTA(C184:C195)=0,"",SUMIF(E184:E195,"Cash",D184:D195))</f>
        <v/>
      </c>
      <c r="F196" s="21">
        <f>IF(COUNTA(C184:C195)=0,"",SUMIF(E184:E195,"Transfer Bank",D184:D195))</f>
        <v/>
      </c>
      <c r="G196" s="19">
        <f>IF(COUNTA(C184:C195)=0,"",SUMIF(F184:F195,"Ambil Obat",G184:G195))</f>
        <v/>
      </c>
      <c r="H196" s="20">
        <f>IF(COUNTA(C184:C195)=0,"",SUMIFS(G184:G195,H184:H195,"Cash",F184:F195,"Ambil Obat"))</f>
        <v/>
      </c>
      <c r="I196" s="21">
        <f>IF(COUNTA(C184:C195)=0,"",SUMIFS(G184:G195,H184:H195,"Transfer Bank",F184:F195,"Ambil Obat"))</f>
        <v/>
      </c>
      <c r="J196" s="22" t="n"/>
      <c r="K196" s="23">
        <f>IF(COUNTA(C184:C195)=0,"",D196+G196)</f>
        <v/>
      </c>
    </row>
    <row r="197" ht="24" customHeight="1" s="314">
      <c r="A197" s="249" t="inlineStr">
        <is>
          <t>📅  Kamis, 07 Mei 2026</t>
        </is>
      </c>
      <c r="B197" s="5" t="n"/>
      <c r="C197" s="5" t="n"/>
      <c r="D197" s="5" t="n"/>
      <c r="E197" s="5" t="n"/>
      <c r="F197" s="5" t="n"/>
      <c r="G197" s="5" t="n"/>
      <c r="H197" s="5" t="n"/>
      <c r="I197" s="5" t="n"/>
      <c r="J197" s="4" t="inlineStr">
        <is>
          <t>dr. ARIF</t>
        </is>
      </c>
      <c r="K197" s="5" t="n"/>
    </row>
    <row r="198" ht="21.75" customHeight="1" s="314">
      <c r="A198" s="6" t="n">
        <v>1</v>
      </c>
      <c r="B198" s="7" t="n">
        <v>46149</v>
      </c>
      <c r="C198" s="8" t="n"/>
      <c r="D198" s="9" t="n"/>
      <c r="E198" s="10" t="inlineStr">
        <is>
          <t>▼</t>
        </is>
      </c>
      <c r="F198" s="10" t="inlineStr">
        <is>
          <t>▼</t>
        </is>
      </c>
      <c r="G198" s="9" t="n"/>
      <c r="H198" s="10" t="inlineStr">
        <is>
          <t>▼</t>
        </is>
      </c>
      <c r="I198" s="11">
        <f>IF(C198="","",D198+IF(F198="Ambil Obat",IF(G198="",0,G198),0))</f>
        <v/>
      </c>
      <c r="J198" s="12" t="n"/>
      <c r="K198" s="13" t="inlineStr">
        <is>
          <t>▼</t>
        </is>
      </c>
    </row>
    <row r="199" ht="21.75" customHeight="1" s="314">
      <c r="A199" s="6" t="n">
        <v>2</v>
      </c>
      <c r="B199" s="7" t="n">
        <v>46149</v>
      </c>
      <c r="C199" s="14" t="n"/>
      <c r="D199" s="16" t="n"/>
      <c r="E199" s="15" t="inlineStr">
        <is>
          <t>▼</t>
        </is>
      </c>
      <c r="F199" s="15" t="inlineStr">
        <is>
          <t>▼</t>
        </is>
      </c>
      <c r="G199" s="9" t="n"/>
      <c r="H199" s="15" t="inlineStr">
        <is>
          <t>▼</t>
        </is>
      </c>
      <c r="I199" s="17">
        <f>IF(C199="","",D199+IF(F199="Ambil Obat",IF(G199="",0,G199),0))</f>
        <v/>
      </c>
      <c r="J199" s="12" t="n"/>
      <c r="K199" s="18" t="inlineStr">
        <is>
          <t>▼</t>
        </is>
      </c>
    </row>
    <row r="200" ht="21.75" customHeight="1" s="314">
      <c r="A200" s="6" t="n">
        <v>3</v>
      </c>
      <c r="B200" s="7" t="n">
        <v>46149</v>
      </c>
      <c r="C200" s="8" t="n"/>
      <c r="D200" s="9" t="n"/>
      <c r="E200" s="10" t="inlineStr">
        <is>
          <t>▼</t>
        </is>
      </c>
      <c r="F200" s="10" t="inlineStr">
        <is>
          <t>▼</t>
        </is>
      </c>
      <c r="G200" s="9" t="n"/>
      <c r="H200" s="10" t="inlineStr">
        <is>
          <t>▼</t>
        </is>
      </c>
      <c r="I200" s="11">
        <f>IF(C200="","",D200+IF(F200="Ambil Obat",IF(G200="",0,G200),0))</f>
        <v/>
      </c>
      <c r="J200" s="12" t="n"/>
      <c r="K200" s="13" t="inlineStr">
        <is>
          <t>▼</t>
        </is>
      </c>
    </row>
    <row r="201" ht="21.75" customHeight="1" s="314">
      <c r="A201" s="6" t="n">
        <v>4</v>
      </c>
      <c r="B201" s="7" t="n">
        <v>46149</v>
      </c>
      <c r="C201" s="14" t="n"/>
      <c r="D201" s="9" t="n"/>
      <c r="E201" s="15" t="inlineStr">
        <is>
          <t>▼</t>
        </is>
      </c>
      <c r="F201" s="15" t="inlineStr">
        <is>
          <t>▼</t>
        </is>
      </c>
      <c r="G201" s="16" t="n"/>
      <c r="H201" s="15" t="inlineStr">
        <is>
          <t>▼</t>
        </is>
      </c>
      <c r="I201" s="17">
        <f>IF(C201="","",D201+IF(F201="Ambil Obat",IF(G201="",0,G201),0))</f>
        <v/>
      </c>
      <c r="J201" s="12" t="n"/>
      <c r="K201" s="18" t="inlineStr">
        <is>
          <t>▼</t>
        </is>
      </c>
    </row>
    <row r="202" ht="21.75" customHeight="1" s="314">
      <c r="A202" s="6" t="n">
        <v>5</v>
      </c>
      <c r="B202" s="7" t="n">
        <v>46149</v>
      </c>
      <c r="C202" s="8" t="n"/>
      <c r="D202" s="9" t="n"/>
      <c r="E202" s="10" t="inlineStr">
        <is>
          <t>▼</t>
        </is>
      </c>
      <c r="F202" s="10" t="inlineStr">
        <is>
          <t>▼</t>
        </is>
      </c>
      <c r="G202" s="16" t="n"/>
      <c r="H202" s="10" t="inlineStr">
        <is>
          <t>▼</t>
        </is>
      </c>
      <c r="I202" s="11">
        <f>IF(C202="","",D202+IF(F202="Ambil Obat",IF(G202="",0,G202),0))</f>
        <v/>
      </c>
      <c r="J202" s="12" t="n"/>
      <c r="K202" s="13" t="inlineStr">
        <is>
          <t>▼</t>
        </is>
      </c>
    </row>
    <row r="203" ht="21.75" customHeight="1" s="314">
      <c r="A203" s="6" t="n">
        <v>6</v>
      </c>
      <c r="B203" s="7" t="n">
        <v>46149</v>
      </c>
      <c r="C203" s="14" t="n"/>
      <c r="D203" s="9" t="n"/>
      <c r="E203" s="15" t="inlineStr">
        <is>
          <t>▼</t>
        </is>
      </c>
      <c r="F203" s="15" t="inlineStr">
        <is>
          <t>▼</t>
        </is>
      </c>
      <c r="G203" s="16" t="n"/>
      <c r="H203" s="15" t="inlineStr">
        <is>
          <t>▼</t>
        </is>
      </c>
      <c r="I203" s="17">
        <f>IF(C203="","",D203+IF(F203="Ambil Obat",IF(G203="",0,G203),0))</f>
        <v/>
      </c>
      <c r="J203" s="12" t="n"/>
      <c r="K203" s="18" t="inlineStr">
        <is>
          <t>▼</t>
        </is>
      </c>
    </row>
    <row r="204" ht="21.75" customHeight="1" s="314">
      <c r="A204" s="6" t="n">
        <v>7</v>
      </c>
      <c r="B204" s="7" t="n">
        <v>46149</v>
      </c>
      <c r="C204" s="8" t="n"/>
      <c r="D204" s="16" t="n"/>
      <c r="E204" s="10" t="inlineStr">
        <is>
          <t>▼</t>
        </is>
      </c>
      <c r="F204" s="10" t="inlineStr">
        <is>
          <t>▼</t>
        </is>
      </c>
      <c r="G204" s="16" t="n"/>
      <c r="H204" s="10" t="inlineStr">
        <is>
          <t>▼</t>
        </is>
      </c>
      <c r="I204" s="11">
        <f>IF(C204="","",D204+IF(F204="Ambil Obat",IF(G204="",0,G204),0))</f>
        <v/>
      </c>
      <c r="J204" s="12" t="n"/>
      <c r="K204" s="13" t="inlineStr">
        <is>
          <t>▼</t>
        </is>
      </c>
    </row>
    <row r="205" ht="21.75" customHeight="1" s="314">
      <c r="A205" s="6" t="n">
        <v>8</v>
      </c>
      <c r="B205" s="7" t="n">
        <v>46149</v>
      </c>
      <c r="C205" s="14" t="n"/>
      <c r="D205" s="16" t="n"/>
      <c r="E205" s="15" t="inlineStr">
        <is>
          <t>▼</t>
        </is>
      </c>
      <c r="F205" s="15" t="inlineStr">
        <is>
          <t>▼</t>
        </is>
      </c>
      <c r="G205" s="16" t="n"/>
      <c r="H205" s="15" t="inlineStr">
        <is>
          <t>▼</t>
        </is>
      </c>
      <c r="I205" s="17">
        <f>IF(C205="","",D205+IF(F205="Ambil Obat",IF(G205="",0,G205),0))</f>
        <v/>
      </c>
      <c r="J205" s="12" t="n"/>
      <c r="K205" s="18" t="inlineStr">
        <is>
          <t>▼250 OBAT</t>
        </is>
      </c>
    </row>
    <row r="206" ht="21.75" customHeight="1" s="314">
      <c r="A206" s="6" t="n">
        <v>9</v>
      </c>
      <c r="B206" s="7" t="n">
        <v>46149</v>
      </c>
      <c r="C206" s="8" t="n"/>
      <c r="D206" s="16" t="n"/>
      <c r="E206" s="10" t="inlineStr">
        <is>
          <t>▼</t>
        </is>
      </c>
      <c r="F206" s="10" t="inlineStr">
        <is>
          <t>▼</t>
        </is>
      </c>
      <c r="G206" s="16" t="n"/>
      <c r="H206" s="10" t="inlineStr">
        <is>
          <t>▼</t>
        </is>
      </c>
      <c r="I206" s="11">
        <f>IF(C206="","",D206+IF(F206="Ambil Obat",IF(G206="",0,G206),0))</f>
        <v/>
      </c>
      <c r="J206" s="12" t="n"/>
      <c r="K206" s="13" t="inlineStr">
        <is>
          <t>▼</t>
        </is>
      </c>
    </row>
    <row r="207" ht="21.75" customHeight="1" s="314">
      <c r="A207" s="6" t="n">
        <v>10</v>
      </c>
      <c r="B207" s="7" t="n">
        <v>46149</v>
      </c>
      <c r="C207" s="14" t="n"/>
      <c r="D207" s="9" t="n"/>
      <c r="E207" s="15" t="inlineStr">
        <is>
          <t>▼</t>
        </is>
      </c>
      <c r="F207" s="15" t="inlineStr">
        <is>
          <t>▼</t>
        </is>
      </c>
      <c r="G207" s="16" t="n"/>
      <c r="H207" s="15" t="inlineStr">
        <is>
          <t>▼</t>
        </is>
      </c>
      <c r="I207" s="17">
        <f>IF(C207="","",D207+IF(F207="Ambil Obat",IF(G207="",0,G207),0))</f>
        <v/>
      </c>
      <c r="J207" s="12" t="n"/>
      <c r="K207" s="18" t="inlineStr">
        <is>
          <t>▼</t>
        </is>
      </c>
    </row>
    <row r="208" ht="21.75" customHeight="1" s="314">
      <c r="A208" s="6" t="n">
        <v>11</v>
      </c>
      <c r="B208" s="7" t="n">
        <v>46149</v>
      </c>
      <c r="C208" s="8" t="n"/>
      <c r="D208" s="16" t="n"/>
      <c r="E208" s="10" t="inlineStr">
        <is>
          <t>▼</t>
        </is>
      </c>
      <c r="F208" s="10" t="inlineStr">
        <is>
          <t>▼</t>
        </is>
      </c>
      <c r="G208" s="9" t="n"/>
      <c r="H208" s="10" t="inlineStr">
        <is>
          <t>▼</t>
        </is>
      </c>
      <c r="I208" s="11">
        <f>IF(C208="","",D208+IF(F208="Ambil Obat",IF(G208="",0,G208),0))</f>
        <v/>
      </c>
      <c r="J208" s="12" t="n"/>
      <c r="K208" s="13" t="inlineStr">
        <is>
          <t>▼</t>
        </is>
      </c>
    </row>
    <row r="209" ht="21.75" customHeight="1" s="314">
      <c r="A209" s="6" t="n">
        <v>12</v>
      </c>
      <c r="B209" s="7" t="n">
        <v>46149</v>
      </c>
      <c r="C209" s="14" t="n"/>
      <c r="D209" s="16" t="n"/>
      <c r="E209" s="15" t="inlineStr">
        <is>
          <t>▼</t>
        </is>
      </c>
      <c r="F209" s="15" t="inlineStr">
        <is>
          <t>▼</t>
        </is>
      </c>
      <c r="G209" s="16" t="n"/>
      <c r="H209" s="15" t="inlineStr">
        <is>
          <t>▼</t>
        </is>
      </c>
      <c r="I209" s="17">
        <f>IF(C209="","",D209+IF(F209="Ambil Obat",IF(G209="",0,G209),0))</f>
        <v/>
      </c>
      <c r="J209" s="12" t="n"/>
      <c r="K209" s="18" t="inlineStr">
        <is>
          <t>▼</t>
        </is>
      </c>
    </row>
    <row r="210" ht="21.75" customHeight="1" s="314">
      <c r="A210" s="6" t="n">
        <v>13</v>
      </c>
      <c r="B210" s="7" t="n">
        <v>46149</v>
      </c>
      <c r="C210" s="8" t="n"/>
      <c r="D210" s="16" t="n"/>
      <c r="E210" s="10" t="inlineStr">
        <is>
          <t>▼</t>
        </is>
      </c>
      <c r="F210" s="10" t="inlineStr">
        <is>
          <t>▼</t>
        </is>
      </c>
      <c r="G210" s="16" t="n"/>
      <c r="H210" s="10" t="inlineStr">
        <is>
          <t>▼</t>
        </is>
      </c>
      <c r="I210" s="11">
        <f>IF(C210="","",D210+IF(F210="Ambil Obat",IF(G210="",0,G210),0))</f>
        <v/>
      </c>
      <c r="J210" s="12" t="n"/>
      <c r="K210" s="13" t="inlineStr">
        <is>
          <t>▼</t>
        </is>
      </c>
    </row>
    <row r="211" ht="21.75" customHeight="1" s="314">
      <c r="A211" s="6" t="n">
        <v>14</v>
      </c>
      <c r="B211" s="7" t="n">
        <v>46149</v>
      </c>
      <c r="C211" s="14" t="n"/>
      <c r="D211" s="16" t="n"/>
      <c r="E211" s="15" t="inlineStr">
        <is>
          <t>▼</t>
        </is>
      </c>
      <c r="F211" s="15" t="inlineStr">
        <is>
          <t>▼</t>
        </is>
      </c>
      <c r="G211" s="16" t="n"/>
      <c r="H211" s="15" t="inlineStr">
        <is>
          <t>▼</t>
        </is>
      </c>
      <c r="I211" s="17">
        <f>IF(C211="","",D211+IF(F211="Ambil Obat",IF(G211="",0,G211),0))</f>
        <v/>
      </c>
      <c r="J211" s="12" t="n"/>
      <c r="K211" s="18" t="inlineStr">
        <is>
          <t>▼</t>
        </is>
      </c>
    </row>
    <row r="212" ht="21.75" customHeight="1" s="314">
      <c r="A212" s="6" t="n">
        <v>15</v>
      </c>
      <c r="B212" s="7" t="n">
        <v>46149</v>
      </c>
      <c r="C212" s="8" t="n"/>
      <c r="D212" s="16" t="n"/>
      <c r="E212" s="10" t="inlineStr">
        <is>
          <t>▼</t>
        </is>
      </c>
      <c r="F212" s="10" t="inlineStr">
        <is>
          <t>▼</t>
        </is>
      </c>
      <c r="G212" s="16" t="n"/>
      <c r="H212" s="10" t="inlineStr">
        <is>
          <t>▼</t>
        </is>
      </c>
      <c r="I212" s="11">
        <f>IF(C212="","",D212+IF(F212="Ambil Obat",IF(G212="",0,G212),0))</f>
        <v/>
      </c>
      <c r="J212" s="12" t="n"/>
      <c r="K212" s="13" t="inlineStr">
        <is>
          <t>▼</t>
        </is>
      </c>
    </row>
    <row r="213" ht="24" customHeight="1" s="314">
      <c r="A213" s="248">
        <f>IF(COUNTA(C198:C212)=0,"— belum ada data —","📊 Sub-total  "&amp; TEXT(B198,"DD MMM YYYY") &amp;"  ("&amp;COUNTA(C198:C212)&amp;" pasien)")</f>
        <v/>
      </c>
      <c r="B213" s="316" t="n"/>
      <c r="C213" s="316" t="n"/>
      <c r="D213" s="19">
        <f>IF(COUNTA(C198:C212)=0,"",SUM(D198:D212))</f>
        <v/>
      </c>
      <c r="E213" s="20">
        <f>IF(COUNTA(C198:C212)=0,"",SUMIF(E198:E212,"Cash",D198:D212))</f>
        <v/>
      </c>
      <c r="F213" s="21">
        <f>IF(COUNTA(C198:C212)=0,"",SUMIF(E198:E212,"Transfer Bank",D198:D212))</f>
        <v/>
      </c>
      <c r="G213" s="19">
        <f>IF(COUNTA(C198:C212)=0,"",SUMIF(F198:F212,"Ambil Obat",G198:G212))</f>
        <v/>
      </c>
      <c r="H213" s="20">
        <f>IF(COUNTA(C198:C212)=0,"",SUMIFS(G198:G212,H198:H212,"Cash",F198:F212,"Ambil Obat"))</f>
        <v/>
      </c>
      <c r="I213" s="21">
        <f>IF(COUNTA(C198:C212)=0,"",SUMIFS(G198:G212,H198:H212,"Transfer Bank",F198:F212,"Ambil Obat"))</f>
        <v/>
      </c>
      <c r="J213" s="22" t="n"/>
      <c r="K213" s="23">
        <f>IF(COUNTA(C198:C212)=0,"",D213+G213)</f>
        <v/>
      </c>
    </row>
    <row r="214" ht="24" customHeight="1" s="314">
      <c r="A214" s="249" t="inlineStr">
        <is>
          <t>📅  Jumat, 08 Mei 2026</t>
        </is>
      </c>
      <c r="B214" s="5" t="n"/>
      <c r="C214" s="5" t="n"/>
      <c r="D214" s="5" t="n"/>
      <c r="E214" s="5" t="n"/>
      <c r="F214" s="5" t="n"/>
      <c r="G214" s="5" t="n"/>
      <c r="H214" s="5" t="n"/>
      <c r="I214" s="5" t="n"/>
      <c r="J214" s="4" t="inlineStr">
        <is>
          <t>dr. JOJO</t>
        </is>
      </c>
      <c r="K214" s="5" t="n"/>
    </row>
    <row r="215" ht="21.75" customHeight="1" s="314">
      <c r="A215" s="6" t="n">
        <v>1</v>
      </c>
      <c r="B215" s="7" t="n">
        <v>46150</v>
      </c>
      <c r="C215" s="8" t="n"/>
      <c r="D215" s="9" t="n"/>
      <c r="E215" s="10" t="inlineStr">
        <is>
          <t>▼</t>
        </is>
      </c>
      <c r="F215" s="10" t="inlineStr">
        <is>
          <t>▼</t>
        </is>
      </c>
      <c r="G215" s="9" t="n"/>
      <c r="H215" s="10" t="inlineStr">
        <is>
          <t>▼</t>
        </is>
      </c>
      <c r="I215" s="11">
        <f>IF(C215="","",D215+IF(F215="Ambil Obat",IF(G215="",0,G215),0))</f>
        <v/>
      </c>
      <c r="J215" s="12" t="n"/>
      <c r="K215" s="13" t="inlineStr">
        <is>
          <t>▼</t>
        </is>
      </c>
    </row>
    <row r="216" ht="21.75" customHeight="1" s="314">
      <c r="A216" s="6" t="n">
        <v>2</v>
      </c>
      <c r="B216" s="7" t="n">
        <v>46150</v>
      </c>
      <c r="C216" s="14" t="n"/>
      <c r="D216" s="9" t="n"/>
      <c r="E216" s="15" t="inlineStr">
        <is>
          <t>▼</t>
        </is>
      </c>
      <c r="F216" s="15" t="inlineStr">
        <is>
          <t>▼</t>
        </is>
      </c>
      <c r="G216" s="16" t="n"/>
      <c r="H216" s="15" t="inlineStr">
        <is>
          <t>▼</t>
        </is>
      </c>
      <c r="I216" s="17">
        <f>IF(C216="","",D216+IF(F216="Ambil Obat",IF(G216="",0,G216),0))</f>
        <v/>
      </c>
      <c r="J216" s="12" t="n"/>
      <c r="K216" s="18" t="inlineStr">
        <is>
          <t>▼</t>
        </is>
      </c>
    </row>
    <row r="217" ht="21.75" customHeight="1" s="314">
      <c r="A217" s="6" t="n">
        <v>3</v>
      </c>
      <c r="B217" s="7" t="n">
        <v>46150</v>
      </c>
      <c r="C217" s="8" t="n"/>
      <c r="D217" s="9" t="n"/>
      <c r="E217" s="10" t="inlineStr">
        <is>
          <t>▼</t>
        </is>
      </c>
      <c r="F217" s="10" t="inlineStr">
        <is>
          <t>▼</t>
        </is>
      </c>
      <c r="G217" s="9" t="n"/>
      <c r="H217" s="10" t="inlineStr">
        <is>
          <t>▼</t>
        </is>
      </c>
      <c r="I217" s="11">
        <f>IF(C217="","",D217+IF(F217="Ambil Obat",IF(G217="",0,G217),0))</f>
        <v/>
      </c>
      <c r="J217" s="12" t="n"/>
      <c r="K217" s="13" t="inlineStr">
        <is>
          <t>▼</t>
        </is>
      </c>
    </row>
    <row r="218" ht="21.75" customHeight="1" s="314">
      <c r="A218" s="6" t="n">
        <v>4</v>
      </c>
      <c r="B218" s="7" t="n">
        <v>46150</v>
      </c>
      <c r="C218" s="14" t="n"/>
      <c r="D218" s="9" t="n"/>
      <c r="E218" s="15" t="inlineStr">
        <is>
          <t>▼</t>
        </is>
      </c>
      <c r="F218" s="15" t="inlineStr">
        <is>
          <t>▼</t>
        </is>
      </c>
      <c r="G218" s="16" t="n"/>
      <c r="H218" s="15" t="inlineStr">
        <is>
          <t>▼</t>
        </is>
      </c>
      <c r="I218" s="17">
        <f>IF(C218="","",D218+IF(F218="Ambil Obat",IF(G218="",0,G218),0))</f>
        <v/>
      </c>
      <c r="J218" s="12" t="n"/>
      <c r="K218" s="18" t="inlineStr">
        <is>
          <t>▼</t>
        </is>
      </c>
    </row>
    <row r="219" ht="21.75" customHeight="1" s="314">
      <c r="A219" s="6" t="n">
        <v>5</v>
      </c>
      <c r="B219" s="7" t="n">
        <v>46150</v>
      </c>
      <c r="C219" s="8" t="n"/>
      <c r="D219" s="9" t="n"/>
      <c r="E219" s="10" t="inlineStr">
        <is>
          <t>▼</t>
        </is>
      </c>
      <c r="F219" s="10" t="inlineStr">
        <is>
          <t>▼</t>
        </is>
      </c>
      <c r="G219" s="9" t="n"/>
      <c r="H219" s="10" t="inlineStr">
        <is>
          <t>▼</t>
        </is>
      </c>
      <c r="I219" s="11">
        <f>IF(C219="","",D219+IF(F219="Ambil Obat",IF(G219="",0,G219),0))</f>
        <v/>
      </c>
      <c r="J219" s="12" t="n"/>
      <c r="K219" s="13" t="inlineStr">
        <is>
          <t>▼</t>
        </is>
      </c>
    </row>
    <row r="220" ht="21.75" customHeight="1" s="314">
      <c r="A220" s="6" t="n">
        <v>6</v>
      </c>
      <c r="B220" s="7" t="n">
        <v>46150</v>
      </c>
      <c r="C220" s="14" t="n"/>
      <c r="D220" s="9" t="n"/>
      <c r="E220" s="15" t="inlineStr">
        <is>
          <t>▼</t>
        </is>
      </c>
      <c r="F220" s="15" t="inlineStr">
        <is>
          <t>▼</t>
        </is>
      </c>
      <c r="G220" s="16" t="n"/>
      <c r="H220" s="15" t="inlineStr">
        <is>
          <t>▼</t>
        </is>
      </c>
      <c r="I220" s="17">
        <f>IF(C220="","",D220+IF(F220="Ambil Obat",IF(G220="",0,G220),0))</f>
        <v/>
      </c>
      <c r="J220" s="12" t="n"/>
      <c r="K220" s="18" t="inlineStr">
        <is>
          <t>▼</t>
        </is>
      </c>
    </row>
    <row r="221" ht="21.75" customHeight="1" s="314">
      <c r="A221" s="6" t="n">
        <v>7</v>
      </c>
      <c r="B221" s="7" t="n">
        <v>46150</v>
      </c>
      <c r="C221" s="8" t="n"/>
      <c r="D221" s="9" t="n"/>
      <c r="E221" s="10" t="inlineStr">
        <is>
          <t>▼</t>
        </is>
      </c>
      <c r="F221" s="10" t="inlineStr">
        <is>
          <t>▼</t>
        </is>
      </c>
      <c r="G221" s="9" t="n"/>
      <c r="H221" s="10" t="inlineStr">
        <is>
          <t>▼</t>
        </is>
      </c>
      <c r="I221" s="11">
        <f>IF(C221="","",D221+IF(F221="Ambil Obat",IF(G221="",0,G221),0))</f>
        <v/>
      </c>
      <c r="J221" s="12" t="n"/>
      <c r="K221" s="13" t="inlineStr">
        <is>
          <t>▼</t>
        </is>
      </c>
    </row>
    <row r="222" ht="21.75" customHeight="1" s="314">
      <c r="A222" s="6" t="n">
        <v>8</v>
      </c>
      <c r="B222" s="7" t="n">
        <v>46150</v>
      </c>
      <c r="C222" s="14" t="n"/>
      <c r="D222" s="9" t="n"/>
      <c r="E222" s="15" t="inlineStr">
        <is>
          <t>▼</t>
        </is>
      </c>
      <c r="F222" s="15" t="inlineStr">
        <is>
          <t>▼</t>
        </is>
      </c>
      <c r="G222" s="16" t="n"/>
      <c r="H222" s="15" t="inlineStr">
        <is>
          <t>▼</t>
        </is>
      </c>
      <c r="I222" s="17">
        <f>IF(C222="","",D222+IF(F222="Ambil Obat",IF(G222="",0,G222),0))</f>
        <v/>
      </c>
      <c r="J222" s="12" t="n"/>
      <c r="K222" s="18" t="inlineStr">
        <is>
          <t>▼</t>
        </is>
      </c>
    </row>
    <row r="223" ht="21.75" customHeight="1" s="314">
      <c r="A223" s="6" t="n">
        <v>9</v>
      </c>
      <c r="B223" s="7" t="n">
        <v>46150</v>
      </c>
      <c r="C223" s="8" t="n"/>
      <c r="D223" s="9" t="n"/>
      <c r="E223" s="10" t="inlineStr">
        <is>
          <t>▼</t>
        </is>
      </c>
      <c r="F223" s="10" t="inlineStr">
        <is>
          <t>▼</t>
        </is>
      </c>
      <c r="G223" s="16" t="n"/>
      <c r="H223" s="10" t="inlineStr">
        <is>
          <t>▼</t>
        </is>
      </c>
      <c r="I223" s="11">
        <f>IF(C223="","",D223+IF(F223="Ambil Obat",IF(G223="",0,G223),0))</f>
        <v/>
      </c>
      <c r="J223" s="12" t="n"/>
      <c r="K223" s="13" t="inlineStr">
        <is>
          <t>▼</t>
        </is>
      </c>
    </row>
    <row r="224" ht="21.75" customHeight="1" s="314">
      <c r="A224" s="6" t="n">
        <v>10</v>
      </c>
      <c r="B224" s="7" t="n">
        <v>46150</v>
      </c>
      <c r="C224" s="14" t="n"/>
      <c r="D224" s="9" t="n"/>
      <c r="E224" s="15" t="inlineStr">
        <is>
          <t>▼</t>
        </is>
      </c>
      <c r="F224" s="15" t="inlineStr">
        <is>
          <t>▼</t>
        </is>
      </c>
      <c r="G224" s="16" t="n"/>
      <c r="H224" s="15" t="inlineStr">
        <is>
          <t>▼</t>
        </is>
      </c>
      <c r="I224" s="17">
        <f>IF(C224="","",D224+IF(F224="Ambil Obat",IF(G224="",0,G224),0))</f>
        <v/>
      </c>
      <c r="J224" s="12" t="n"/>
      <c r="K224" s="18" t="inlineStr">
        <is>
          <t>▼</t>
        </is>
      </c>
    </row>
    <row r="225" ht="21.75" customHeight="1" s="314">
      <c r="A225" s="6" t="n">
        <v>11</v>
      </c>
      <c r="B225" s="7" t="n">
        <v>46150</v>
      </c>
      <c r="C225" s="8" t="n"/>
      <c r="D225" s="9" t="n"/>
      <c r="E225" s="10" t="inlineStr">
        <is>
          <t>▼</t>
        </is>
      </c>
      <c r="F225" s="10" t="inlineStr">
        <is>
          <t>▼</t>
        </is>
      </c>
      <c r="G225" s="9" t="n"/>
      <c r="H225" s="10" t="inlineStr">
        <is>
          <t>▼</t>
        </is>
      </c>
      <c r="I225" s="11">
        <f>IF(C225="","",D225+IF(F225="Ambil Obat",IF(G225="",0,G225),0))</f>
        <v/>
      </c>
      <c r="J225" s="12" t="n"/>
      <c r="K225" s="13" t="inlineStr">
        <is>
          <t>▼</t>
        </is>
      </c>
    </row>
    <row r="226" ht="21.75" customHeight="1" s="314">
      <c r="A226" s="6" t="n">
        <v>12</v>
      </c>
      <c r="B226" s="7" t="n">
        <v>46150</v>
      </c>
      <c r="C226" s="14" t="n"/>
      <c r="D226" s="9" t="n"/>
      <c r="E226" s="15" t="inlineStr">
        <is>
          <t>▼</t>
        </is>
      </c>
      <c r="F226" s="15" t="inlineStr">
        <is>
          <t>▼</t>
        </is>
      </c>
      <c r="G226" s="16" t="n"/>
      <c r="H226" s="15" t="inlineStr">
        <is>
          <t>▼</t>
        </is>
      </c>
      <c r="I226" s="17">
        <f>IF(C226="","",D226+IF(F226="Ambil Obat",IF(G226="",0,G226),0))</f>
        <v/>
      </c>
      <c r="J226" s="12" t="n"/>
      <c r="K226" s="18" t="inlineStr">
        <is>
          <t>▼</t>
        </is>
      </c>
    </row>
    <row r="227" ht="21.75" customHeight="1" s="314">
      <c r="A227" s="6" t="n">
        <v>13</v>
      </c>
      <c r="B227" s="7" t="n">
        <v>46150</v>
      </c>
      <c r="C227" s="8" t="n"/>
      <c r="D227" s="9" t="n"/>
      <c r="E227" s="10" t="inlineStr">
        <is>
          <t>▼</t>
        </is>
      </c>
      <c r="F227" s="10" t="inlineStr">
        <is>
          <t>▼</t>
        </is>
      </c>
      <c r="G227" s="9" t="n"/>
      <c r="H227" s="10" t="inlineStr">
        <is>
          <t>▼</t>
        </is>
      </c>
      <c r="I227" s="11">
        <f>IF(C227="","",D227+IF(F227="Ambil Obat",IF(G227="",0,G227),0))</f>
        <v/>
      </c>
      <c r="J227" s="12" t="n"/>
      <c r="K227" s="13" t="inlineStr">
        <is>
          <t>▼</t>
        </is>
      </c>
    </row>
    <row r="228" ht="21.75" customHeight="1" s="314">
      <c r="A228" s="6" t="n">
        <v>14</v>
      </c>
      <c r="B228" s="7" t="n">
        <v>46150</v>
      </c>
      <c r="C228" s="14" t="n"/>
      <c r="D228" s="9" t="n"/>
      <c r="E228" s="15" t="inlineStr">
        <is>
          <t>▼</t>
        </is>
      </c>
      <c r="F228" s="15" t="inlineStr">
        <is>
          <t>▼</t>
        </is>
      </c>
      <c r="G228" s="16" t="n"/>
      <c r="H228" s="15" t="inlineStr">
        <is>
          <t>▼</t>
        </is>
      </c>
      <c r="I228" s="17">
        <f>IF(C228="","",D228+IF(F228="Ambil Obat",IF(G228="",0,G228),0))</f>
        <v/>
      </c>
      <c r="J228" s="12" t="n"/>
      <c r="K228" s="18" t="inlineStr">
        <is>
          <t>▼</t>
        </is>
      </c>
    </row>
    <row r="229" ht="21.75" customHeight="1" s="314">
      <c r="A229" s="26" t="n">
        <v>15</v>
      </c>
      <c r="B229" s="7" t="n">
        <v>46150</v>
      </c>
      <c r="C229" s="27" t="n"/>
      <c r="D229" s="28" t="n"/>
      <c r="E229" s="29" t="inlineStr">
        <is>
          <t>▼</t>
        </is>
      </c>
      <c r="F229" s="29" t="inlineStr">
        <is>
          <t>▼</t>
        </is>
      </c>
      <c r="G229" s="30" t="n"/>
      <c r="H229" s="29" t="inlineStr">
        <is>
          <t>▼</t>
        </is>
      </c>
      <c r="I229" s="11">
        <f>IF(C229="","",D229+IF(F229="Ambil Obat",IF(G229="",0,G229),0))</f>
        <v/>
      </c>
      <c r="J229" s="12" t="n"/>
      <c r="K229" s="13" t="inlineStr">
        <is>
          <t>▼</t>
        </is>
      </c>
    </row>
    <row r="230" ht="24" customHeight="1" s="314">
      <c r="A230" s="248">
        <f>IF(COUNTA(C215:C229)=0,"— belum ada data —","📊 Sub-total  "&amp; TEXT(B215,"DD MMM YYYY") &amp;"  ("&amp;COUNTA(C215:C229)&amp;" pasien)")</f>
        <v/>
      </c>
      <c r="B230" s="316" t="n"/>
      <c r="C230" s="316" t="n"/>
      <c r="D230" s="19">
        <f>IF(COUNTA(C215:C229)=0,"",SUM(D215:D229))</f>
        <v/>
      </c>
      <c r="E230" s="20">
        <f>IF(COUNTA(C215:C229)=0,"",SUMIF(E215:E229,"Cash",D215:D229))</f>
        <v/>
      </c>
      <c r="F230" s="21">
        <f>IF(COUNTA(C215:C229)=0,"",SUMIF(E215:E229,"Transfer Bank",D215:D229))</f>
        <v/>
      </c>
      <c r="G230" s="19">
        <f>IF(COUNTA(C215:C229)=0,"",SUMIF(F215:F229,"Ambil Obat",G215:G229))</f>
        <v/>
      </c>
      <c r="H230" s="20">
        <f>IF(COUNTA(C215:C229)=0,"",SUMIFS(G215:G229,H215:H229,"Cash",F215:F229,"Ambil Obat"))</f>
        <v/>
      </c>
      <c r="I230" s="21">
        <f>IF(COUNTA(C215:C229)=0,"",SUMIFS(G215:G229,H215:H229,"Transfer Bank",F215:F229,"Ambil Obat"))</f>
        <v/>
      </c>
      <c r="J230" s="22" t="n"/>
      <c r="K230" s="23">
        <f>IF(COUNTA(C215:C229)=0,"",D230+G230)</f>
        <v/>
      </c>
    </row>
    <row r="231" ht="24" customHeight="1" s="314">
      <c r="A231" s="249" t="inlineStr">
        <is>
          <t>📅  Sabtu, 09 Mei 2026</t>
        </is>
      </c>
      <c r="B231" s="5" t="n"/>
      <c r="C231" s="5" t="n"/>
      <c r="D231" s="5" t="n"/>
      <c r="E231" s="5" t="n"/>
      <c r="F231" s="5" t="n"/>
      <c r="G231" s="5" t="n"/>
      <c r="H231" s="5" t="n"/>
      <c r="I231" s="5" t="n"/>
      <c r="J231" s="4" t="inlineStr">
        <is>
          <t>dr. HAWA</t>
        </is>
      </c>
      <c r="K231" s="5" t="n"/>
    </row>
    <row r="232" ht="21.75" customHeight="1" s="314">
      <c r="A232" s="6" t="n">
        <v>1</v>
      </c>
      <c r="B232" s="7" t="n">
        <v>46151</v>
      </c>
      <c r="C232" s="8" t="n"/>
      <c r="D232" s="9" t="n"/>
      <c r="E232" s="10" t="inlineStr">
        <is>
          <t>▼</t>
        </is>
      </c>
      <c r="F232" s="10" t="inlineStr">
        <is>
          <t>▼</t>
        </is>
      </c>
      <c r="G232" s="9" t="n"/>
      <c r="H232" s="10" t="inlineStr">
        <is>
          <t>▼</t>
        </is>
      </c>
      <c r="I232" s="11">
        <f>IF(C232="","",D232+IF(F232="Ambil Obat",IF(G232="",0,G232),0))</f>
        <v/>
      </c>
      <c r="J232" s="12" t="n"/>
      <c r="K232" s="13" t="inlineStr">
        <is>
          <t>▼</t>
        </is>
      </c>
    </row>
    <row r="233" ht="21.75" customHeight="1" s="314">
      <c r="A233" s="6" t="n">
        <v>2</v>
      </c>
      <c r="B233" s="7" t="n">
        <v>46151</v>
      </c>
      <c r="C233" s="14" t="n"/>
      <c r="D233" s="16" t="n"/>
      <c r="E233" s="15" t="inlineStr">
        <is>
          <t>▼</t>
        </is>
      </c>
      <c r="F233" s="15" t="inlineStr">
        <is>
          <t>▼</t>
        </is>
      </c>
      <c r="G233" s="16" t="n"/>
      <c r="H233" s="15" t="inlineStr">
        <is>
          <t>▼</t>
        </is>
      </c>
      <c r="I233" s="17">
        <f>IF(C233="","",D233+IF(F233="Ambil Obat",IF(G233="",0,G233),0))</f>
        <v/>
      </c>
      <c r="J233" s="12" t="n"/>
      <c r="K233" s="18" t="inlineStr">
        <is>
          <t>▼</t>
        </is>
      </c>
    </row>
    <row r="234" ht="21.75" customHeight="1" s="314">
      <c r="A234" s="6" t="n">
        <v>3</v>
      </c>
      <c r="B234" s="7" t="n">
        <v>46151</v>
      </c>
      <c r="C234" s="8" t="n"/>
      <c r="D234" s="9" t="n"/>
      <c r="E234" s="10" t="inlineStr">
        <is>
          <t>▼</t>
        </is>
      </c>
      <c r="F234" s="10" t="inlineStr">
        <is>
          <t>▼</t>
        </is>
      </c>
      <c r="G234" s="9" t="n"/>
      <c r="H234" s="10" t="inlineStr">
        <is>
          <t>▼</t>
        </is>
      </c>
      <c r="I234" s="11">
        <f>IF(C234="","",D234+IF(F234="Ambil Obat",IF(G234="",0,G234),0))</f>
        <v/>
      </c>
      <c r="J234" s="12" t="n"/>
      <c r="K234" s="13" t="inlineStr">
        <is>
          <t>▼</t>
        </is>
      </c>
    </row>
    <row r="235" ht="21.75" customHeight="1" s="314">
      <c r="A235" s="6" t="n">
        <v>4</v>
      </c>
      <c r="B235" s="7" t="n">
        <v>46151</v>
      </c>
      <c r="C235" s="14" t="n"/>
      <c r="D235" s="9" t="n"/>
      <c r="E235" s="15" t="inlineStr">
        <is>
          <t>▼</t>
        </is>
      </c>
      <c r="F235" s="15" t="inlineStr">
        <is>
          <t>▼</t>
        </is>
      </c>
      <c r="G235" s="16" t="n"/>
      <c r="H235" s="15" t="inlineStr">
        <is>
          <t>▼</t>
        </is>
      </c>
      <c r="I235" s="17">
        <f>IF(C235="","",D235+IF(F235="Ambil Obat",IF(G235="",0,G235),0))</f>
        <v/>
      </c>
      <c r="J235" s="12" t="n"/>
      <c r="K235" s="18" t="inlineStr">
        <is>
          <t>▼</t>
        </is>
      </c>
    </row>
    <row r="236" ht="21.75" customHeight="1" s="314">
      <c r="A236" s="6" t="n">
        <v>5</v>
      </c>
      <c r="B236" s="7" t="n">
        <v>46151</v>
      </c>
      <c r="C236" s="8" t="n"/>
      <c r="D236" s="9" t="n"/>
      <c r="E236" s="10" t="inlineStr">
        <is>
          <t>▼</t>
        </is>
      </c>
      <c r="F236" s="10" t="inlineStr">
        <is>
          <t>▼</t>
        </is>
      </c>
      <c r="G236" s="9" t="n"/>
      <c r="H236" s="10" t="inlineStr">
        <is>
          <t>▼</t>
        </is>
      </c>
      <c r="I236" s="11">
        <f>IF(C236="","",D236+IF(F236="Ambil Obat",IF(G236="",0,G236),0))</f>
        <v/>
      </c>
      <c r="J236" s="12" t="n"/>
      <c r="K236" s="13" t="inlineStr">
        <is>
          <t>▼</t>
        </is>
      </c>
    </row>
    <row r="237" ht="21.75" customHeight="1" s="314">
      <c r="A237" s="6" t="n">
        <v>6</v>
      </c>
      <c r="B237" s="7" t="n">
        <v>46151</v>
      </c>
      <c r="C237" s="14" t="n"/>
      <c r="D237" s="9" t="n"/>
      <c r="E237" s="15" t="inlineStr">
        <is>
          <t>▼</t>
        </is>
      </c>
      <c r="F237" s="15" t="inlineStr">
        <is>
          <t>▼</t>
        </is>
      </c>
      <c r="G237" s="16" t="n"/>
      <c r="H237" s="15" t="inlineStr">
        <is>
          <t>▼</t>
        </is>
      </c>
      <c r="I237" s="17">
        <f>IF(C237="","",D237+IF(F237="Ambil Obat",IF(G237="",0,G237),0))</f>
        <v/>
      </c>
      <c r="J237" s="12" t="n"/>
      <c r="K237" s="18" t="inlineStr">
        <is>
          <t>▼</t>
        </is>
      </c>
    </row>
    <row r="238" ht="21.75" customHeight="1" s="314">
      <c r="A238" s="6" t="n">
        <v>7</v>
      </c>
      <c r="B238" s="7" t="n">
        <v>46151</v>
      </c>
      <c r="C238" s="8" t="n"/>
      <c r="D238" s="9" t="n"/>
      <c r="E238" s="10" t="inlineStr">
        <is>
          <t>▼</t>
        </is>
      </c>
      <c r="F238" s="10" t="inlineStr">
        <is>
          <t>▼</t>
        </is>
      </c>
      <c r="G238" s="9" t="n"/>
      <c r="H238" s="10" t="inlineStr">
        <is>
          <t>▼</t>
        </is>
      </c>
      <c r="I238" s="11">
        <f>IF(C238="","",D238+IF(F238="Ambil Obat",IF(G238="",0,G238),0))</f>
        <v/>
      </c>
      <c r="J238" s="12" t="n"/>
      <c r="K238" s="13" t="inlineStr">
        <is>
          <t>▼</t>
        </is>
      </c>
    </row>
    <row r="239" ht="21.75" customHeight="1" s="314">
      <c r="A239" s="6" t="n">
        <v>8</v>
      </c>
      <c r="B239" s="7" t="n">
        <v>46151</v>
      </c>
      <c r="C239" s="14" t="n"/>
      <c r="D239" s="9" t="n"/>
      <c r="E239" s="15" t="inlineStr">
        <is>
          <t>▼</t>
        </is>
      </c>
      <c r="F239" s="15" t="inlineStr">
        <is>
          <t>▼</t>
        </is>
      </c>
      <c r="G239" s="9" t="n"/>
      <c r="H239" s="15" t="inlineStr">
        <is>
          <t>▼</t>
        </is>
      </c>
      <c r="I239" s="17">
        <f>IF(C239="","",D239+IF(F239="Ambil Obat",IF(G239="",0,G239),0))</f>
        <v/>
      </c>
      <c r="J239" s="12" t="n"/>
      <c r="K239" s="18" t="inlineStr">
        <is>
          <t>▼</t>
        </is>
      </c>
    </row>
    <row r="240" ht="21.75" customHeight="1" s="314">
      <c r="A240" s="6" t="n">
        <v>9</v>
      </c>
      <c r="B240" s="7" t="n">
        <v>46151</v>
      </c>
      <c r="C240" s="8" t="n"/>
      <c r="D240" s="16" t="n"/>
      <c r="E240" s="10" t="inlineStr">
        <is>
          <t>▼</t>
        </is>
      </c>
      <c r="F240" s="10" t="inlineStr">
        <is>
          <t>▼</t>
        </is>
      </c>
      <c r="G240" s="9" t="n"/>
      <c r="H240" s="10" t="inlineStr">
        <is>
          <t>▼</t>
        </is>
      </c>
      <c r="I240" s="11">
        <f>IF(C240="","",D240+IF(F240="Ambil Obat",IF(G240="",0,G240),0))</f>
        <v/>
      </c>
      <c r="J240" s="12" t="n"/>
      <c r="K240" s="13" t="inlineStr">
        <is>
          <t>▼</t>
        </is>
      </c>
    </row>
    <row r="241" ht="21.75" customHeight="1" s="314">
      <c r="A241" s="6" t="n">
        <v>10</v>
      </c>
      <c r="B241" s="7" t="n">
        <v>46151</v>
      </c>
      <c r="C241" s="14" t="n"/>
      <c r="D241" s="9" t="n"/>
      <c r="E241" s="15" t="inlineStr">
        <is>
          <t>▼</t>
        </is>
      </c>
      <c r="F241" s="15" t="inlineStr">
        <is>
          <t>▼</t>
        </is>
      </c>
      <c r="G241" s="9" t="n"/>
      <c r="H241" s="15" t="inlineStr">
        <is>
          <t>▼</t>
        </is>
      </c>
      <c r="I241" s="17">
        <f>IF(C241="","",D241+IF(F241="Ambil Obat",IF(G241="",0,G241),0))</f>
        <v/>
      </c>
      <c r="J241" s="12" t="n"/>
      <c r="K241" s="18" t="inlineStr">
        <is>
          <t>▼</t>
        </is>
      </c>
    </row>
    <row r="242" ht="21.75" customHeight="1" s="314">
      <c r="A242" s="6" t="n">
        <v>11</v>
      </c>
      <c r="B242" s="7" t="n">
        <v>46151</v>
      </c>
      <c r="C242" s="8" t="n"/>
      <c r="D242" s="9" t="n"/>
      <c r="E242" s="10" t="inlineStr">
        <is>
          <t>▼</t>
        </is>
      </c>
      <c r="F242" s="10" t="inlineStr">
        <is>
          <t>▼</t>
        </is>
      </c>
      <c r="G242" s="9" t="n"/>
      <c r="H242" s="10" t="inlineStr">
        <is>
          <t>▼</t>
        </is>
      </c>
      <c r="I242" s="11">
        <f>IF(C242="","",D242+IF(F242="Ambil Obat",IF(G242="",0,G242),0))</f>
        <v/>
      </c>
      <c r="J242" s="12" t="n"/>
      <c r="K242" s="13" t="inlineStr">
        <is>
          <t>▼</t>
        </is>
      </c>
    </row>
    <row r="243" ht="21.75" customHeight="1" s="314">
      <c r="A243" s="6" t="n">
        <v>12</v>
      </c>
      <c r="B243" s="7" t="n">
        <v>46151</v>
      </c>
      <c r="C243" s="14" t="n"/>
      <c r="D243" s="9" t="n"/>
      <c r="E243" s="15" t="inlineStr">
        <is>
          <t>▼</t>
        </is>
      </c>
      <c r="F243" s="15" t="inlineStr">
        <is>
          <t>▼</t>
        </is>
      </c>
      <c r="G243" s="9" t="n"/>
      <c r="H243" s="15" t="inlineStr">
        <is>
          <t>▼</t>
        </is>
      </c>
      <c r="I243" s="17">
        <f>IF(C243="","",D243+IF(F243="Ambil Obat",IF(G243="",0,G243),0))</f>
        <v/>
      </c>
      <c r="J243" s="12" t="n"/>
      <c r="K243" s="18" t="inlineStr">
        <is>
          <t>▼</t>
        </is>
      </c>
    </row>
    <row r="244" ht="24" customHeight="1" s="314">
      <c r="A244" s="248">
        <f>IF(COUNTA(C232:C243)=0,"— belum ada data —","📊 Sub-total  "&amp; TEXT(B232,"DD MMM YYYY") &amp;"  ("&amp;COUNTA(C232:C243)&amp;" pasien)")</f>
        <v/>
      </c>
      <c r="B244" s="316" t="n"/>
      <c r="C244" s="316" t="n"/>
      <c r="D244" s="19">
        <f>IF(COUNTA(C232:C243)=0,"",SUM(D232:D243))</f>
        <v/>
      </c>
      <c r="E244" s="20">
        <f>IF(COUNTA(C232:C243)=0,"",SUMIF(E232:E243,"Cash",D232:D243))</f>
        <v/>
      </c>
      <c r="F244" s="21">
        <f>IF(COUNTA(C232:C243)=0,"",SUMIF(E232:E243,"Transfer Bank",D232:D243))</f>
        <v/>
      </c>
      <c r="G244" s="19">
        <f>IF(COUNTA(C232:C243)=0,"",SUMIF(F232:F243,"Ambil Obat",G232:G243))</f>
        <v/>
      </c>
      <c r="H244" s="20">
        <f>IF(COUNTA(C232:C243)=0,"",SUMIFS(G232:G243,H232:H243,"Cash",F232:F243,"Ambil Obat"))</f>
        <v/>
      </c>
      <c r="I244" s="21">
        <f>IF(COUNTA(C232:C243)=0,"",SUMIFS(G232:G243,H232:H243,"Transfer Bank",F232:F243,"Ambil Obat"))</f>
        <v/>
      </c>
      <c r="J244" s="22" t="n"/>
      <c r="K244" s="23">
        <f>IF(COUNTA(C232:C243)=0,"",D244+G244)</f>
        <v/>
      </c>
    </row>
    <row r="245" ht="24" customHeight="1" s="314">
      <c r="A245" s="249" t="inlineStr">
        <is>
          <t>📅  Minggu, 10 Mei 2026</t>
        </is>
      </c>
      <c r="B245" s="5" t="n"/>
      <c r="C245" s="5" t="n"/>
      <c r="D245" s="5" t="n"/>
      <c r="E245" s="5" t="n"/>
      <c r="F245" s="5" t="n"/>
      <c r="G245" s="5" t="n"/>
      <c r="H245" s="5" t="n"/>
      <c r="I245" s="5" t="n"/>
      <c r="J245" s="4" t="inlineStr">
        <is>
          <t>dr. HAWA</t>
        </is>
      </c>
      <c r="K245" s="5" t="n"/>
    </row>
    <row r="246" ht="21.75" customHeight="1" s="314">
      <c r="A246" s="6" t="n">
        <v>1</v>
      </c>
      <c r="B246" s="7" t="n">
        <v>46152</v>
      </c>
      <c r="C246" s="8" t="n"/>
      <c r="D246" s="9" t="n"/>
      <c r="E246" s="10" t="inlineStr">
        <is>
          <t>▼</t>
        </is>
      </c>
      <c r="F246" s="10" t="inlineStr">
        <is>
          <t>▼</t>
        </is>
      </c>
      <c r="G246" s="9" t="n"/>
      <c r="H246" s="10" t="inlineStr">
        <is>
          <t>▼</t>
        </is>
      </c>
      <c r="I246" s="11">
        <f>IF(C246="","",D246+IF(F246="Ambil Obat",IF(G246="",0,G246),0))</f>
        <v/>
      </c>
      <c r="J246" s="12" t="n"/>
      <c r="K246" s="13" t="inlineStr">
        <is>
          <t>▼</t>
        </is>
      </c>
    </row>
    <row r="247" ht="21.75" customHeight="1" s="314">
      <c r="A247" s="6" t="n">
        <v>2</v>
      </c>
      <c r="B247" s="7" t="n">
        <v>46152</v>
      </c>
      <c r="C247" s="14" t="n"/>
      <c r="D247" s="9" t="n"/>
      <c r="E247" s="15" t="inlineStr">
        <is>
          <t>▼</t>
        </is>
      </c>
      <c r="F247" s="15" t="inlineStr">
        <is>
          <t>▼</t>
        </is>
      </c>
      <c r="G247" s="16" t="n"/>
      <c r="H247" s="15" t="inlineStr">
        <is>
          <t>▼</t>
        </is>
      </c>
      <c r="I247" s="17">
        <f>IF(C247="","",D247+IF(F247="Ambil Obat",IF(G247="",0,G247),0))</f>
        <v/>
      </c>
      <c r="J247" s="12" t="n"/>
      <c r="K247" s="18" t="inlineStr">
        <is>
          <t>▼</t>
        </is>
      </c>
    </row>
    <row r="248" ht="21.75" customHeight="1" s="314">
      <c r="A248" s="6" t="n">
        <v>3</v>
      </c>
      <c r="B248" s="7" t="n">
        <v>46152</v>
      </c>
      <c r="C248" s="8" t="n"/>
      <c r="D248" s="9" t="n"/>
      <c r="E248" s="10" t="inlineStr">
        <is>
          <t>▼</t>
        </is>
      </c>
      <c r="F248" s="10" t="inlineStr">
        <is>
          <t>▼</t>
        </is>
      </c>
      <c r="G248" s="9" t="n"/>
      <c r="H248" s="10" t="inlineStr">
        <is>
          <t>▼</t>
        </is>
      </c>
      <c r="I248" s="11">
        <f>IF(C248="","",D248+IF(F248="Ambil Obat",IF(G248="",0,G248),0))</f>
        <v/>
      </c>
      <c r="J248" s="12" t="n"/>
      <c r="K248" s="13" t="inlineStr">
        <is>
          <t>▼</t>
        </is>
      </c>
    </row>
    <row r="249" ht="21.75" customHeight="1" s="314">
      <c r="A249" s="6" t="n">
        <v>4</v>
      </c>
      <c r="B249" s="7" t="n">
        <v>46152</v>
      </c>
      <c r="C249" s="14" t="n"/>
      <c r="D249" s="9" t="n"/>
      <c r="E249" s="15" t="inlineStr">
        <is>
          <t>▼</t>
        </is>
      </c>
      <c r="F249" s="15" t="inlineStr">
        <is>
          <t>▼</t>
        </is>
      </c>
      <c r="G249" s="9" t="n"/>
      <c r="H249" s="15" t="inlineStr">
        <is>
          <t>▼</t>
        </is>
      </c>
      <c r="I249" s="17">
        <f>IF(C249="","",D249+IF(F249="Ambil Obat",IF(G249="",0,G249),0))</f>
        <v/>
      </c>
      <c r="J249" s="12" t="n"/>
      <c r="K249" s="18" t="inlineStr">
        <is>
          <t>▼</t>
        </is>
      </c>
    </row>
    <row r="250" ht="21.75" customHeight="1" s="314">
      <c r="A250" s="6" t="n">
        <v>5</v>
      </c>
      <c r="B250" s="7" t="n">
        <v>46152</v>
      </c>
      <c r="C250" s="8" t="n"/>
      <c r="D250" s="9" t="n"/>
      <c r="E250" s="10" t="inlineStr">
        <is>
          <t>▼</t>
        </is>
      </c>
      <c r="F250" s="10" t="inlineStr">
        <is>
          <t>▼</t>
        </is>
      </c>
      <c r="G250" s="9" t="n"/>
      <c r="H250" s="10" t="inlineStr">
        <is>
          <t>▼</t>
        </is>
      </c>
      <c r="I250" s="11">
        <f>IF(C250="","",D250+IF(F250="Ambil Obat",IF(G250="",0,G250),0))</f>
        <v/>
      </c>
      <c r="J250" s="12" t="n"/>
      <c r="K250" s="13" t="inlineStr">
        <is>
          <t>▼</t>
        </is>
      </c>
    </row>
    <row r="251" ht="21.75" customHeight="1" s="314">
      <c r="A251" s="6" t="n">
        <v>6</v>
      </c>
      <c r="B251" s="7" t="n">
        <v>46152</v>
      </c>
      <c r="C251" s="14" t="n"/>
      <c r="D251" s="9" t="n"/>
      <c r="E251" s="15" t="inlineStr">
        <is>
          <t>▼</t>
        </is>
      </c>
      <c r="F251" s="15" t="inlineStr">
        <is>
          <t>▼</t>
        </is>
      </c>
      <c r="G251" s="16" t="n"/>
      <c r="H251" s="15" t="inlineStr">
        <is>
          <t>▼</t>
        </is>
      </c>
      <c r="I251" s="17">
        <f>IF(C251="","",D251+IF(F251="Ambil Obat",IF(G251="",0,G251),0))</f>
        <v/>
      </c>
      <c r="J251" s="12" t="n"/>
      <c r="K251" s="18" t="inlineStr">
        <is>
          <t>▼</t>
        </is>
      </c>
    </row>
    <row r="252" ht="21.75" customHeight="1" s="314">
      <c r="A252" s="6" t="n">
        <v>7</v>
      </c>
      <c r="B252" s="7" t="n">
        <v>46152</v>
      </c>
      <c r="C252" s="8" t="n"/>
      <c r="D252" s="9" t="n"/>
      <c r="E252" s="10" t="inlineStr">
        <is>
          <t>▼</t>
        </is>
      </c>
      <c r="F252" s="10" t="inlineStr">
        <is>
          <t>▼</t>
        </is>
      </c>
      <c r="G252" s="9" t="n"/>
      <c r="H252" s="10" t="inlineStr">
        <is>
          <t>▼</t>
        </is>
      </c>
      <c r="I252" s="11">
        <f>IF(C252="","",D252+IF(F252="Ambil Obat",IF(G252="",0,G252),0))</f>
        <v/>
      </c>
      <c r="J252" s="12" t="n"/>
      <c r="K252" s="13" t="inlineStr">
        <is>
          <t>▼</t>
        </is>
      </c>
    </row>
    <row r="253" ht="21.75" customHeight="1" s="314">
      <c r="A253" s="6" t="n">
        <v>8</v>
      </c>
      <c r="B253" s="7" t="n">
        <v>46152</v>
      </c>
      <c r="C253" s="14" t="n"/>
      <c r="D253" s="9" t="n"/>
      <c r="E253" s="15" t="inlineStr">
        <is>
          <t>▼</t>
        </is>
      </c>
      <c r="F253" s="15" t="inlineStr">
        <is>
          <t>▼</t>
        </is>
      </c>
      <c r="G253" s="16" t="n"/>
      <c r="H253" s="15" t="inlineStr">
        <is>
          <t>▼</t>
        </is>
      </c>
      <c r="I253" s="17">
        <f>IF(C253="","",D253+IF(F253="Ambil Obat",IF(G253="",0,G253),0))</f>
        <v/>
      </c>
      <c r="J253" s="12" t="n"/>
      <c r="K253" s="18" t="inlineStr">
        <is>
          <t>▼</t>
        </is>
      </c>
    </row>
    <row r="254" ht="21.75" customHeight="1" s="314">
      <c r="A254" s="6" t="n">
        <v>9</v>
      </c>
      <c r="B254" s="7" t="n">
        <v>46152</v>
      </c>
      <c r="C254" s="8" t="n"/>
      <c r="D254" s="9" t="n"/>
      <c r="E254" s="10" t="inlineStr">
        <is>
          <t>▼</t>
        </is>
      </c>
      <c r="F254" s="10" t="inlineStr">
        <is>
          <t>▼</t>
        </is>
      </c>
      <c r="G254" s="9" t="n"/>
      <c r="H254" s="10" t="inlineStr">
        <is>
          <t>▼</t>
        </is>
      </c>
      <c r="I254" s="11">
        <f>IF(C254="","",D254+IF(F254="Ambil Obat",IF(G254="",0,G254),0))</f>
        <v/>
      </c>
      <c r="J254" s="12" t="n"/>
      <c r="K254" s="13" t="inlineStr">
        <is>
          <t>▼</t>
        </is>
      </c>
    </row>
    <row r="255" ht="24" customHeight="1" s="314">
      <c r="A255" s="248">
        <f>IF(COUNTA(C246:C254)=0,"— belum ada data —","📊 Sub-total  "&amp; TEXT(B246,"DD MMM YYYY") &amp;"  ("&amp;COUNTA(C246:C254)&amp;" pasien)")</f>
        <v/>
      </c>
      <c r="B255" s="316" t="n"/>
      <c r="C255" s="316" t="n"/>
      <c r="D255" s="19">
        <f>IF(COUNTA(C246:C254)=0,"",SUM(D246:D254))</f>
        <v/>
      </c>
      <c r="E255" s="20">
        <f>IF(COUNTA(C246:C254)=0,"",SUMIF(E246:E254,"Cash",D246:D254))</f>
        <v/>
      </c>
      <c r="F255" s="21">
        <f>IF(COUNTA(C246:C254)=0,"",SUMIF(E246:E254,"Transfer Bank",D246:D254))</f>
        <v/>
      </c>
      <c r="G255" s="19">
        <f>IF(COUNTA(C246:C254)=0,"",SUMIF(F246:F254,"Ambil Obat",G246:G254))</f>
        <v/>
      </c>
      <c r="H255" s="20">
        <f>IF(COUNTA(C246:C254)=0,"",SUMIFS(G246:G254,H246:H254,"Cash",F246:F254,"Ambil Obat"))</f>
        <v/>
      </c>
      <c r="I255" s="21">
        <f>IF(COUNTA(C246:C254)=0,"",SUMIFS(G246:G254,H246:H254,"Transfer Bank",F246:F254,"Ambil Obat"))</f>
        <v/>
      </c>
      <c r="J255" s="22" t="n"/>
      <c r="K255" s="23">
        <f>IF(COUNTA(C246:C254)=0,"",D255+G255)</f>
        <v/>
      </c>
    </row>
    <row r="256" ht="24" customHeight="1" s="314">
      <c r="A256" s="249" t="inlineStr">
        <is>
          <t>📅  Senin, 11 Mei 2026</t>
        </is>
      </c>
      <c r="B256" s="5" t="n"/>
      <c r="C256" s="5" t="n"/>
      <c r="D256" s="5" t="n"/>
      <c r="E256" s="5" t="n"/>
      <c r="F256" s="5" t="n"/>
      <c r="G256" s="5" t="n"/>
      <c r="H256" s="5" t="n"/>
      <c r="I256" s="5" t="n"/>
      <c r="J256" s="4" t="inlineStr">
        <is>
          <t>dr. JOJO</t>
        </is>
      </c>
      <c r="K256" s="5" t="n"/>
    </row>
    <row r="257" ht="21.75" customHeight="1" s="314">
      <c r="A257" s="6" t="n">
        <v>1</v>
      </c>
      <c r="B257" s="7" t="n">
        <v>46153</v>
      </c>
      <c r="C257" s="8" t="n"/>
      <c r="D257" s="9" t="n"/>
      <c r="E257" s="10" t="inlineStr">
        <is>
          <t>▼</t>
        </is>
      </c>
      <c r="F257" s="10" t="inlineStr">
        <is>
          <t>▼</t>
        </is>
      </c>
      <c r="G257" s="9" t="n"/>
      <c r="H257" s="10" t="inlineStr">
        <is>
          <t>▼</t>
        </is>
      </c>
      <c r="I257" s="11">
        <f>IF(C257="","",D257+IF(F257="Ambil Obat",IF(G257="",0,G257),0))</f>
        <v/>
      </c>
      <c r="J257" s="12" t="n"/>
      <c r="K257" s="13" t="inlineStr">
        <is>
          <t>▼</t>
        </is>
      </c>
    </row>
    <row r="258" ht="21.75" customHeight="1" s="314">
      <c r="A258" s="6" t="n">
        <v>2</v>
      </c>
      <c r="B258" s="7" t="n">
        <v>46153</v>
      </c>
      <c r="C258" s="14" t="n"/>
      <c r="D258" s="9" t="n"/>
      <c r="E258" s="15" t="inlineStr">
        <is>
          <t>▼</t>
        </is>
      </c>
      <c r="F258" s="15" t="inlineStr">
        <is>
          <t>▼</t>
        </is>
      </c>
      <c r="G258" s="9" t="n"/>
      <c r="H258" s="15" t="inlineStr">
        <is>
          <t>▼</t>
        </is>
      </c>
      <c r="I258" s="17">
        <f>IF(C258="","",D258+IF(F258="Ambil Obat",IF(G258="",0,G258),0))</f>
        <v/>
      </c>
      <c r="J258" s="12" t="n"/>
      <c r="K258" s="18" t="inlineStr">
        <is>
          <t>▼</t>
        </is>
      </c>
    </row>
    <row r="259" ht="21.75" customHeight="1" s="314">
      <c r="A259" s="6" t="n">
        <v>3</v>
      </c>
      <c r="B259" s="7" t="n">
        <v>46153</v>
      </c>
      <c r="C259" s="8" t="n"/>
      <c r="D259" s="9" t="n"/>
      <c r="E259" s="10" t="inlineStr">
        <is>
          <t>▼</t>
        </is>
      </c>
      <c r="F259" s="10" t="inlineStr">
        <is>
          <t>▼</t>
        </is>
      </c>
      <c r="G259" s="9" t="n"/>
      <c r="H259" s="10" t="inlineStr">
        <is>
          <t>▼</t>
        </is>
      </c>
      <c r="I259" s="11">
        <f>IF(C259="","",D259+IF(F259="Ambil Obat",IF(G259="",0,G259),0))</f>
        <v/>
      </c>
      <c r="J259" s="12" t="n"/>
      <c r="K259" s="13" t="inlineStr">
        <is>
          <t>▼</t>
        </is>
      </c>
    </row>
    <row r="260" ht="21.75" customHeight="1" s="314">
      <c r="A260" s="6" t="n">
        <v>4</v>
      </c>
      <c r="B260" s="7" t="n">
        <v>46153</v>
      </c>
      <c r="C260" s="14" t="n"/>
      <c r="D260" s="9" t="n"/>
      <c r="E260" s="15" t="inlineStr">
        <is>
          <t>▼</t>
        </is>
      </c>
      <c r="F260" s="15" t="inlineStr">
        <is>
          <t>▼</t>
        </is>
      </c>
      <c r="G260" s="16" t="n"/>
      <c r="H260" s="15" t="inlineStr">
        <is>
          <t>▼</t>
        </is>
      </c>
      <c r="I260" s="17">
        <f>IF(C260="","",D260+IF(F260="Ambil Obat",IF(G260="",0,G260),0))</f>
        <v/>
      </c>
      <c r="J260" s="12" t="n"/>
      <c r="K260" s="18" t="inlineStr">
        <is>
          <t>▼</t>
        </is>
      </c>
    </row>
    <row r="261" ht="21.75" customHeight="1" s="314">
      <c r="A261" s="6" t="n">
        <v>5</v>
      </c>
      <c r="B261" s="7" t="n">
        <v>46153</v>
      </c>
      <c r="C261" s="8" t="n"/>
      <c r="D261" s="9" t="n"/>
      <c r="E261" s="10" t="inlineStr">
        <is>
          <t>▼</t>
        </is>
      </c>
      <c r="F261" s="10" t="inlineStr">
        <is>
          <t>▼</t>
        </is>
      </c>
      <c r="G261" s="9" t="n"/>
      <c r="H261" s="10" t="inlineStr">
        <is>
          <t>▼</t>
        </is>
      </c>
      <c r="I261" s="11">
        <f>IF(C261="","",D261+IF(F261="Ambil Obat",IF(G261="",0,G261),0))</f>
        <v/>
      </c>
      <c r="J261" s="12" t="n"/>
      <c r="K261" s="13" t="inlineStr">
        <is>
          <t>▼</t>
        </is>
      </c>
    </row>
    <row r="262" ht="21.75" customHeight="1" s="314">
      <c r="A262" s="6" t="n">
        <v>6</v>
      </c>
      <c r="B262" s="7" t="n">
        <v>46153</v>
      </c>
      <c r="C262" s="14" t="n"/>
      <c r="D262" s="9" t="n"/>
      <c r="E262" s="15" t="inlineStr">
        <is>
          <t>▼</t>
        </is>
      </c>
      <c r="F262" s="15" t="inlineStr">
        <is>
          <t>▼</t>
        </is>
      </c>
      <c r="G262" s="16" t="n"/>
      <c r="H262" s="15" t="inlineStr">
        <is>
          <t>▼</t>
        </is>
      </c>
      <c r="I262" s="17">
        <f>IF(C262="","",D262+IF(F262="Ambil Obat",IF(G262="",0,G262),0))</f>
        <v/>
      </c>
      <c r="J262" s="12" t="n"/>
      <c r="K262" s="18" t="inlineStr">
        <is>
          <t>▼</t>
        </is>
      </c>
    </row>
    <row r="263" ht="21.75" customHeight="1" s="314">
      <c r="A263" s="6" t="n">
        <v>7</v>
      </c>
      <c r="B263" s="7" t="n">
        <v>46153</v>
      </c>
      <c r="C263" s="8" t="n"/>
      <c r="D263" s="9" t="n"/>
      <c r="E263" s="10" t="inlineStr">
        <is>
          <t>▼</t>
        </is>
      </c>
      <c r="F263" s="10" t="inlineStr">
        <is>
          <t>▼</t>
        </is>
      </c>
      <c r="G263" s="16" t="n"/>
      <c r="H263" s="10" t="inlineStr">
        <is>
          <t>▼</t>
        </is>
      </c>
      <c r="I263" s="11">
        <f>IF(C263="","",D263+IF(F263="Ambil Obat",IF(G263="",0,G263),0))</f>
        <v/>
      </c>
      <c r="J263" s="12" t="n"/>
      <c r="K263" s="13" t="inlineStr">
        <is>
          <t>▼</t>
        </is>
      </c>
    </row>
    <row r="264" ht="21.75" customHeight="1" s="314">
      <c r="A264" s="6" t="n">
        <v>8</v>
      </c>
      <c r="B264" s="7" t="n">
        <v>46153</v>
      </c>
      <c r="C264" s="14" t="n"/>
      <c r="D264" s="9" t="n"/>
      <c r="E264" s="15" t="inlineStr">
        <is>
          <t>▼</t>
        </is>
      </c>
      <c r="F264" s="15" t="inlineStr">
        <is>
          <t>▼</t>
        </is>
      </c>
      <c r="G264" s="9" t="n"/>
      <c r="H264" s="15" t="inlineStr">
        <is>
          <t>▼</t>
        </is>
      </c>
      <c r="I264" s="17">
        <f>IF(C264="","",D264+IF(F264="Ambil Obat",IF(G264="",0,G264),0))</f>
        <v/>
      </c>
      <c r="J264" s="12" t="n"/>
      <c r="K264" s="18" t="inlineStr">
        <is>
          <t>▼</t>
        </is>
      </c>
    </row>
    <row r="265" ht="21.75" customHeight="1" s="314">
      <c r="A265" s="6" t="n">
        <v>9</v>
      </c>
      <c r="B265" s="7" t="n">
        <v>46153</v>
      </c>
      <c r="C265" s="8" t="n"/>
      <c r="D265" s="9" t="n"/>
      <c r="E265" s="10" t="inlineStr">
        <is>
          <t>▼</t>
        </is>
      </c>
      <c r="F265" s="10" t="inlineStr">
        <is>
          <t>▼</t>
        </is>
      </c>
      <c r="G265" s="9" t="n"/>
      <c r="H265" s="10" t="inlineStr">
        <is>
          <t>▼</t>
        </is>
      </c>
      <c r="I265" s="11">
        <f>IF(C265="","",D265+IF(F265="Ambil Obat",IF(G265="",0,G265),0))</f>
        <v/>
      </c>
      <c r="J265" s="12" t="n"/>
      <c r="K265" s="13" t="inlineStr">
        <is>
          <t>▼</t>
        </is>
      </c>
    </row>
    <row r="266" ht="21.75" customHeight="1" s="314">
      <c r="A266" s="6" t="n">
        <v>10</v>
      </c>
      <c r="B266" s="7" t="n">
        <v>46153</v>
      </c>
      <c r="C266" s="14" t="n"/>
      <c r="D266" s="9" t="n"/>
      <c r="E266" s="15" t="inlineStr">
        <is>
          <t>▼</t>
        </is>
      </c>
      <c r="F266" s="15" t="inlineStr">
        <is>
          <t>▼</t>
        </is>
      </c>
      <c r="G266" s="16" t="n"/>
      <c r="H266" s="15" t="inlineStr">
        <is>
          <t>▼</t>
        </is>
      </c>
      <c r="I266" s="17">
        <f>IF(C266="","",D266+IF(F266="Ambil Obat",IF(G266="",0,G266),0))</f>
        <v/>
      </c>
      <c r="J266" s="12" t="n"/>
      <c r="K266" s="18" t="inlineStr">
        <is>
          <t>▼</t>
        </is>
      </c>
    </row>
    <row r="267" ht="21.75" customHeight="1" s="314">
      <c r="A267" s="6" t="n">
        <v>11</v>
      </c>
      <c r="B267" s="7" t="n">
        <v>46153</v>
      </c>
      <c r="C267" s="8" t="n"/>
      <c r="D267" s="9" t="n"/>
      <c r="E267" s="10" t="inlineStr">
        <is>
          <t>▼</t>
        </is>
      </c>
      <c r="F267" s="10" t="inlineStr">
        <is>
          <t>▼</t>
        </is>
      </c>
      <c r="G267" s="9" t="n"/>
      <c r="H267" s="10" t="inlineStr">
        <is>
          <t>▼</t>
        </is>
      </c>
      <c r="I267" s="11">
        <f>IF(C267="","",D267+IF(F267="Ambil Obat",IF(G267="",0,G267),0))</f>
        <v/>
      </c>
      <c r="J267" s="12" t="n"/>
      <c r="K267" s="13" t="inlineStr">
        <is>
          <t>▼</t>
        </is>
      </c>
    </row>
    <row r="268" ht="21.75" customHeight="1" s="314">
      <c r="A268" s="6" t="n">
        <v>12</v>
      </c>
      <c r="B268" s="7" t="n">
        <v>46153</v>
      </c>
      <c r="C268" s="14" t="n"/>
      <c r="D268" s="9" t="n"/>
      <c r="E268" s="15" t="inlineStr">
        <is>
          <t>▼</t>
        </is>
      </c>
      <c r="F268" s="15" t="inlineStr">
        <is>
          <t>▼</t>
        </is>
      </c>
      <c r="G268" s="16" t="n"/>
      <c r="H268" s="15" t="inlineStr">
        <is>
          <t>▼</t>
        </is>
      </c>
      <c r="I268" s="17">
        <f>IF(C268="","",D268+IF(F268="Ambil Obat",IF(G268="",0,G268),0))</f>
        <v/>
      </c>
      <c r="J268" s="12" t="n"/>
      <c r="K268" s="18" t="inlineStr">
        <is>
          <t>▼</t>
        </is>
      </c>
    </row>
    <row r="269" ht="21.75" customHeight="1" s="314">
      <c r="A269" s="6" t="n">
        <v>13</v>
      </c>
      <c r="B269" s="7" t="n">
        <v>46153</v>
      </c>
      <c r="C269" s="8" t="n"/>
      <c r="D269" s="9" t="n"/>
      <c r="E269" s="10" t="inlineStr">
        <is>
          <t>▼</t>
        </is>
      </c>
      <c r="F269" s="10" t="inlineStr">
        <is>
          <t>▼</t>
        </is>
      </c>
      <c r="G269" s="9" t="n"/>
      <c r="H269" s="10" t="inlineStr">
        <is>
          <t>▼</t>
        </is>
      </c>
      <c r="I269" s="11">
        <f>IF(C269="","",D269+IF(F269="Ambil Obat",IF(G269="",0,G269),0))</f>
        <v/>
      </c>
      <c r="J269" s="12" t="n"/>
      <c r="K269" s="13" t="inlineStr">
        <is>
          <t>▼</t>
        </is>
      </c>
    </row>
    <row r="270" ht="24" customHeight="1" s="314">
      <c r="A270" s="248">
        <f>IF(COUNTA(C257:C269)=0,"— belum ada data —","📊 Sub-total  "&amp; TEXT(B257,"DD MMM YYYY") &amp;"  ("&amp;COUNTA(C257:C269)&amp;" pasien)")</f>
        <v/>
      </c>
      <c r="B270" s="316" t="n"/>
      <c r="C270" s="316" t="n"/>
      <c r="D270" s="19">
        <f>IF(COUNTA(C257:C269)=0,"",SUM(D257:D269))</f>
        <v/>
      </c>
      <c r="E270" s="20">
        <f>IF(COUNTA(C257:C269)=0,"",SUMIF(E257:E269,"Cash",D257:D269))</f>
        <v/>
      </c>
      <c r="F270" s="21">
        <f>IF(COUNTA(C257:C269)=0,"",SUMIF(E257:E269,"Transfer Bank",D257:D269))</f>
        <v/>
      </c>
      <c r="G270" s="19">
        <f>IF(COUNTA(C257:C269)=0,"",SUMIF(F257:F269,"Ambil Obat",G257:G269))</f>
        <v/>
      </c>
      <c r="H270" s="20">
        <f>IF(COUNTA(C257:C269)=0,"",SUMIFS(G257:G269,H257:H269,"Cash",F257:F269,"Ambil Obat"))</f>
        <v/>
      </c>
      <c r="I270" s="21">
        <f>IF(COUNTA(C257:C269)=0,"",SUMIFS(G257:G269,H257:H269,"Transfer Bank",F257:F269,"Ambil Obat"))</f>
        <v/>
      </c>
      <c r="J270" s="22" t="n"/>
      <c r="K270" s="23">
        <f>IF(COUNTA(C257:C269)=0,"",D270+G270)</f>
        <v/>
      </c>
    </row>
    <row r="271" ht="24" customHeight="1" s="314">
      <c r="A271" s="249" t="inlineStr">
        <is>
          <t>📅  Selasa, 12 Mei 2026</t>
        </is>
      </c>
      <c r="B271" s="5" t="n"/>
      <c r="C271" s="5" t="n"/>
      <c r="D271" s="5" t="n"/>
      <c r="E271" s="5" t="n"/>
      <c r="F271" s="5" t="n"/>
      <c r="G271" s="5" t="n"/>
      <c r="H271" s="5" t="n"/>
      <c r="I271" s="5" t="n"/>
      <c r="J271" s="4" t="inlineStr">
        <is>
          <t>dr. HAWA</t>
        </is>
      </c>
      <c r="K271" s="5" t="n"/>
    </row>
    <row r="272" ht="21.75" customHeight="1" s="314">
      <c r="A272" s="6" t="n">
        <v>1</v>
      </c>
      <c r="B272" s="7" t="n">
        <v>46154</v>
      </c>
      <c r="C272" s="8" t="n"/>
      <c r="D272" s="9" t="n"/>
      <c r="E272" s="10" t="inlineStr">
        <is>
          <t>▼</t>
        </is>
      </c>
      <c r="F272" s="10" t="inlineStr">
        <is>
          <t>▼</t>
        </is>
      </c>
      <c r="G272" s="9" t="n"/>
      <c r="H272" s="10" t="inlineStr">
        <is>
          <t>▼</t>
        </is>
      </c>
      <c r="I272" s="11">
        <f>IF(C272="","",D272+IF(F272="Ambil Obat",IF(G272="",0,G272),0))</f>
        <v/>
      </c>
      <c r="J272" s="12" t="n"/>
      <c r="K272" s="13" t="inlineStr">
        <is>
          <t>▼</t>
        </is>
      </c>
    </row>
    <row r="273" ht="21.75" customHeight="1" s="314">
      <c r="A273" s="6" t="n">
        <v>2</v>
      </c>
      <c r="B273" s="7" t="n">
        <v>46154</v>
      </c>
      <c r="C273" s="14" t="n"/>
      <c r="D273" s="16" t="n"/>
      <c r="E273" s="15" t="inlineStr">
        <is>
          <t>▼</t>
        </is>
      </c>
      <c r="F273" s="15" t="inlineStr">
        <is>
          <t>▼</t>
        </is>
      </c>
      <c r="G273" s="16" t="n"/>
      <c r="H273" s="15" t="inlineStr">
        <is>
          <t>▼</t>
        </is>
      </c>
      <c r="I273" s="17">
        <f>IF(C273="","",D273+IF(F273="Ambil Obat",IF(G273="",0,G273),0))</f>
        <v/>
      </c>
      <c r="J273" s="12" t="n"/>
      <c r="K273" s="18" t="inlineStr">
        <is>
          <t>▼</t>
        </is>
      </c>
    </row>
    <row r="274" ht="21.75" customHeight="1" s="314">
      <c r="A274" s="6" t="n">
        <v>3</v>
      </c>
      <c r="B274" s="7" t="n">
        <v>46154</v>
      </c>
      <c r="C274" s="8" t="n"/>
      <c r="D274" s="9" t="n"/>
      <c r="E274" s="10" t="inlineStr">
        <is>
          <t>▼</t>
        </is>
      </c>
      <c r="F274" s="10" t="inlineStr">
        <is>
          <t>▼</t>
        </is>
      </c>
      <c r="G274" s="9" t="n"/>
      <c r="H274" s="10" t="inlineStr">
        <is>
          <t>▼</t>
        </is>
      </c>
      <c r="I274" s="11">
        <f>IF(C274="","",D274+IF(F274="Ambil Obat",IF(G274="",0,G274),0))</f>
        <v/>
      </c>
      <c r="J274" s="12" t="n"/>
      <c r="K274" s="13" t="inlineStr">
        <is>
          <t>▼</t>
        </is>
      </c>
    </row>
    <row r="275" ht="21.75" customHeight="1" s="314">
      <c r="A275" s="6" t="n">
        <v>4</v>
      </c>
      <c r="B275" s="7" t="n">
        <v>46154</v>
      </c>
      <c r="C275" s="14" t="n"/>
      <c r="D275" s="16" t="n"/>
      <c r="E275" s="15" t="inlineStr">
        <is>
          <t>▼</t>
        </is>
      </c>
      <c r="F275" s="15" t="inlineStr">
        <is>
          <t>▼</t>
        </is>
      </c>
      <c r="G275" s="16" t="n"/>
      <c r="H275" s="15" t="inlineStr">
        <is>
          <t>▼</t>
        </is>
      </c>
      <c r="I275" s="17">
        <f>IF(C275="","",D275+IF(F275="Ambil Obat",IF(G275="",0,G275),0))</f>
        <v/>
      </c>
      <c r="J275" s="12" t="n"/>
      <c r="K275" s="18" t="inlineStr">
        <is>
          <t>▼</t>
        </is>
      </c>
    </row>
    <row r="276" ht="24" customHeight="1" s="314">
      <c r="A276" s="248">
        <f>IF(COUNTA(C272:C275)=0,"— belum ada data —","📊 Sub-total  "&amp; TEXT(B272,"DD MMM YYYY") &amp;"  ("&amp;COUNTA(C272:C275)&amp;" pasien)")</f>
        <v/>
      </c>
      <c r="B276" s="316" t="n"/>
      <c r="C276" s="316" t="n"/>
      <c r="D276" s="19">
        <f>IF(COUNTA(C272:C275)=0,"",SUM(D272:D275))</f>
        <v/>
      </c>
      <c r="E276" s="20">
        <f>IF(COUNTA(C272:C275)=0,"",SUMIF(E272:E275,"Cash",D272:D275))</f>
        <v/>
      </c>
      <c r="F276" s="21">
        <f>IF(COUNTA(C272:C275)=0,"",SUMIF(E272:E275,"Transfer Bank",D272:D275))</f>
        <v/>
      </c>
      <c r="G276" s="19">
        <f>IF(COUNTA(C272:C275)=0,"",SUMIF(F272:F275,"Ambil Obat",G272:G275))</f>
        <v/>
      </c>
      <c r="H276" s="20">
        <f>IF(COUNTA(C272:C275)=0,"",SUMIFS(G272:G275,H272:H275,"Cash",F272:F275,"Ambil Obat"))</f>
        <v/>
      </c>
      <c r="I276" s="21">
        <f>IF(COUNTA(C272:C275)=0,"",SUMIFS(G272:G275,H272:H275,"Transfer Bank",F272:F275,"Ambil Obat"))</f>
        <v/>
      </c>
      <c r="J276" s="22" t="n"/>
      <c r="K276" s="23">
        <f>IF(COUNTA(C272:C275)=0,"",D276+G276)</f>
        <v/>
      </c>
    </row>
    <row r="277" ht="24" customHeight="1" s="314">
      <c r="A277" s="249" t="inlineStr">
        <is>
          <t>📅  Rabu, 13 Mei 2026</t>
        </is>
      </c>
      <c r="B277" s="5" t="n"/>
      <c r="C277" s="5" t="n"/>
      <c r="D277" s="5" t="n"/>
      <c r="E277" s="5" t="n"/>
      <c r="F277" s="5" t="n"/>
      <c r="G277" s="5" t="n"/>
      <c r="H277" s="5" t="n"/>
      <c r="I277" s="5" t="n"/>
      <c r="J277" s="4" t="inlineStr">
        <is>
          <t>dr. ARIF</t>
        </is>
      </c>
      <c r="K277" s="5" t="n"/>
    </row>
    <row r="278" ht="21.75" customHeight="1" s="314">
      <c r="A278" s="6" t="n">
        <v>1</v>
      </c>
      <c r="B278" s="7" t="n">
        <v>46155</v>
      </c>
      <c r="C278" s="8" t="n"/>
      <c r="D278" s="9" t="n"/>
      <c r="E278" s="10" t="inlineStr">
        <is>
          <t>▼</t>
        </is>
      </c>
      <c r="F278" s="10" t="inlineStr">
        <is>
          <t>▼</t>
        </is>
      </c>
      <c r="G278" s="9" t="n"/>
      <c r="H278" s="10" t="inlineStr">
        <is>
          <t>▼</t>
        </is>
      </c>
      <c r="I278" s="11">
        <f>IF(C278="","",D278+IF(F278="Ambil Obat",IF(G278="",0,G278),0))</f>
        <v/>
      </c>
      <c r="J278" s="12" t="n"/>
      <c r="K278" s="13" t="inlineStr">
        <is>
          <t>▼</t>
        </is>
      </c>
    </row>
    <row r="279" ht="21.75" customHeight="1" s="314">
      <c r="A279" s="6" t="n">
        <v>2</v>
      </c>
      <c r="B279" s="7" t="n">
        <v>46155</v>
      </c>
      <c r="C279" s="14" t="n"/>
      <c r="D279" s="16" t="n"/>
      <c r="E279" s="15" t="inlineStr">
        <is>
          <t>▼</t>
        </is>
      </c>
      <c r="F279" s="15" t="inlineStr">
        <is>
          <t>▼</t>
        </is>
      </c>
      <c r="G279" s="16" t="n"/>
      <c r="H279" s="15" t="inlineStr">
        <is>
          <t>▼</t>
        </is>
      </c>
      <c r="I279" s="17">
        <f>IF(C279="","",D279+IF(F279="Ambil Obat",IF(G279="",0,G279),0))</f>
        <v/>
      </c>
      <c r="J279" s="12" t="n"/>
      <c r="K279" s="18" t="inlineStr">
        <is>
          <t>▼120</t>
        </is>
      </c>
    </row>
    <row r="280" ht="21.75" customHeight="1" s="314">
      <c r="A280" s="6" t="n">
        <v>3</v>
      </c>
      <c r="B280" s="7" t="n">
        <v>46155</v>
      </c>
      <c r="C280" s="8" t="n"/>
      <c r="D280" s="16" t="n"/>
      <c r="E280" s="10" t="inlineStr">
        <is>
          <t>▼</t>
        </is>
      </c>
      <c r="F280" s="10" t="inlineStr">
        <is>
          <t>▼</t>
        </is>
      </c>
      <c r="G280" s="9" t="n"/>
      <c r="H280" s="10" t="inlineStr">
        <is>
          <t>▼</t>
        </is>
      </c>
      <c r="I280" s="11">
        <f>IF(C280="","",D280+IF(F280="Ambil Obat",IF(G280="",0,G280),0))</f>
        <v/>
      </c>
      <c r="J280" s="12" t="n"/>
      <c r="K280" s="13" t="inlineStr">
        <is>
          <t>▼</t>
        </is>
      </c>
    </row>
    <row r="281" ht="21.75" customHeight="1" s="314">
      <c r="A281" s="6" t="n">
        <v>4</v>
      </c>
      <c r="B281" s="7" t="n">
        <v>46155</v>
      </c>
      <c r="C281" s="14" t="n"/>
      <c r="D281" s="9" t="n"/>
      <c r="E281" s="15" t="inlineStr">
        <is>
          <t>▼</t>
        </is>
      </c>
      <c r="F281" s="15" t="inlineStr">
        <is>
          <t>▼</t>
        </is>
      </c>
      <c r="G281" s="16" t="n"/>
      <c r="H281" s="15" t="inlineStr">
        <is>
          <t>▼</t>
        </is>
      </c>
      <c r="I281" s="17">
        <f>IF(C281="","",D281+IF(F281="Ambil Obat",IF(G281="",0,G281),0))</f>
        <v/>
      </c>
      <c r="J281" s="12" t="n"/>
      <c r="K281" s="18" t="inlineStr">
        <is>
          <t>▼280</t>
        </is>
      </c>
    </row>
    <row r="282" ht="21.75" customHeight="1" s="314">
      <c r="A282" s="6" t="n">
        <v>5</v>
      </c>
      <c r="B282" s="7" t="n">
        <v>46155</v>
      </c>
      <c r="C282" s="8" t="n"/>
      <c r="D282" s="16" t="n"/>
      <c r="E282" s="10" t="inlineStr">
        <is>
          <t>▼</t>
        </is>
      </c>
      <c r="F282" s="10" t="inlineStr">
        <is>
          <t>▼</t>
        </is>
      </c>
      <c r="G282" s="16" t="n"/>
      <c r="H282" s="10" t="inlineStr">
        <is>
          <t>▼</t>
        </is>
      </c>
      <c r="I282" s="11">
        <f>IF(C282="","",D282+IF(F282="Ambil Obat",IF(G282="",0,G282),0))</f>
        <v/>
      </c>
      <c r="J282" s="12" t="n"/>
      <c r="K282" s="13" t="inlineStr">
        <is>
          <t>▼</t>
        </is>
      </c>
    </row>
    <row r="283" ht="21.75" customHeight="1" s="314">
      <c r="A283" s="6" t="n">
        <v>6</v>
      </c>
      <c r="B283" s="7" t="n">
        <v>46155</v>
      </c>
      <c r="C283" s="14" t="n"/>
      <c r="D283" s="16" t="n"/>
      <c r="E283" s="15" t="inlineStr">
        <is>
          <t>▼</t>
        </is>
      </c>
      <c r="F283" s="15" t="inlineStr">
        <is>
          <t>▼</t>
        </is>
      </c>
      <c r="G283" s="16" t="n"/>
      <c r="H283" s="15" t="inlineStr">
        <is>
          <t>▼</t>
        </is>
      </c>
      <c r="I283" s="17">
        <f>IF(C283="","",D283+IF(F283="Ambil Obat",IF(G283="",0,G283),0))</f>
        <v/>
      </c>
      <c r="J283" s="12" t="n"/>
      <c r="K283" s="18" t="inlineStr">
        <is>
          <t>▼</t>
        </is>
      </c>
    </row>
    <row r="284" ht="21.75" customHeight="1" s="314">
      <c r="A284" s="6" t="n">
        <v>7</v>
      </c>
      <c r="B284" s="7" t="n">
        <v>46155</v>
      </c>
      <c r="C284" s="8" t="n"/>
      <c r="D284" s="16" t="n"/>
      <c r="E284" s="10" t="inlineStr">
        <is>
          <t>▼</t>
        </is>
      </c>
      <c r="F284" s="10" t="inlineStr">
        <is>
          <t>▼</t>
        </is>
      </c>
      <c r="G284" s="9" t="n"/>
      <c r="H284" s="10" t="inlineStr">
        <is>
          <t>▼</t>
        </is>
      </c>
      <c r="I284" s="11">
        <f>IF(C284="","",D284+IF(F284="Ambil Obat",IF(G284="",0,G284),0))</f>
        <v/>
      </c>
      <c r="J284" s="12" t="n"/>
      <c r="K284" s="13" t="inlineStr">
        <is>
          <t>▼</t>
        </is>
      </c>
    </row>
    <row r="285" ht="21.75" customHeight="1" s="314">
      <c r="A285" s="6" t="n">
        <v>8</v>
      </c>
      <c r="B285" s="7" t="n">
        <v>46155</v>
      </c>
      <c r="C285" s="14" t="n"/>
      <c r="D285" s="16" t="n"/>
      <c r="E285" s="15" t="inlineStr">
        <is>
          <t>▼</t>
        </is>
      </c>
      <c r="F285" s="15" t="inlineStr">
        <is>
          <t>▼</t>
        </is>
      </c>
      <c r="G285" s="16" t="n"/>
      <c r="H285" s="15" t="inlineStr">
        <is>
          <t>▼</t>
        </is>
      </c>
      <c r="I285" s="17">
        <f>IF(C285="","",D285+IF(F285="Ambil Obat",IF(G285="",0,G285),0))</f>
        <v/>
      </c>
      <c r="J285" s="12" t="n"/>
      <c r="K285" s="18" t="inlineStr">
        <is>
          <t>▼</t>
        </is>
      </c>
    </row>
    <row r="286" ht="21.75" customHeight="1" s="314">
      <c r="A286" s="6" t="n">
        <v>9</v>
      </c>
      <c r="B286" s="7" t="n">
        <v>46155</v>
      </c>
      <c r="C286" s="8" t="n"/>
      <c r="D286" s="9" t="n"/>
      <c r="E286" s="10" t="inlineStr">
        <is>
          <t>▼</t>
        </is>
      </c>
      <c r="F286" s="10" t="inlineStr">
        <is>
          <t>▼</t>
        </is>
      </c>
      <c r="G286" s="9" t="n"/>
      <c r="H286" s="10" t="inlineStr">
        <is>
          <t>▼</t>
        </is>
      </c>
      <c r="I286" s="11">
        <f>IF(C286="","",D286+IF(F286="Ambil Obat",IF(G286="",0,G286),0))</f>
        <v/>
      </c>
      <c r="J286" s="12" t="n"/>
      <c r="K286" s="13" t="inlineStr">
        <is>
          <t>▼</t>
        </is>
      </c>
    </row>
    <row r="287" ht="21.75" customHeight="1" s="314">
      <c r="A287" s="6" t="n">
        <v>10</v>
      </c>
      <c r="B287" s="7" t="n">
        <v>46155</v>
      </c>
      <c r="C287" s="31" t="n"/>
      <c r="D287" s="9" t="n"/>
      <c r="E287" s="15" t="inlineStr">
        <is>
          <t>▼</t>
        </is>
      </c>
      <c r="F287" s="15" t="inlineStr">
        <is>
          <t>▼</t>
        </is>
      </c>
      <c r="G287" s="16" t="n"/>
      <c r="H287" s="15" t="inlineStr">
        <is>
          <t>▼</t>
        </is>
      </c>
      <c r="I287" s="17">
        <f>IF(C288="","",D287+IF(F287="Ambil Obat",IF(G287="",0,G287),0))</f>
        <v/>
      </c>
      <c r="J287" s="12" t="n"/>
      <c r="K287" s="18" t="inlineStr">
        <is>
          <t>▼</t>
        </is>
      </c>
    </row>
    <row r="288" ht="21.75" customHeight="1" s="314">
      <c r="A288" s="6" t="n">
        <v>11</v>
      </c>
      <c r="B288" s="7" t="n">
        <v>46155</v>
      </c>
      <c r="C288" s="14" t="n"/>
      <c r="D288" s="16" t="n"/>
      <c r="E288" s="10" t="inlineStr">
        <is>
          <t>▼</t>
        </is>
      </c>
      <c r="F288" s="10" t="inlineStr">
        <is>
          <t>▼</t>
        </is>
      </c>
      <c r="G288" s="16" t="n"/>
      <c r="H288" s="10" t="inlineStr">
        <is>
          <t>▼</t>
        </is>
      </c>
      <c r="I288" s="17">
        <f>IF(C289="","",D288+IF(F288="Ambil Obat",IF(G288="",0,G288),0))</f>
        <v/>
      </c>
      <c r="J288" s="12" t="n"/>
      <c r="K288" s="13" t="inlineStr">
        <is>
          <t>▼</t>
        </is>
      </c>
    </row>
    <row r="289" ht="21.75" customHeight="1" s="314">
      <c r="A289" s="6" t="n">
        <v>12</v>
      </c>
      <c r="B289" s="7" t="n">
        <v>46155</v>
      </c>
      <c r="C289" s="14" t="n"/>
      <c r="D289" s="16" t="n"/>
      <c r="E289" s="15" t="inlineStr">
        <is>
          <t>▼</t>
        </is>
      </c>
      <c r="F289" s="15" t="inlineStr">
        <is>
          <t>▼</t>
        </is>
      </c>
      <c r="G289" s="16" t="n"/>
      <c r="H289" s="15" t="inlineStr">
        <is>
          <t>▼</t>
        </is>
      </c>
      <c r="I289" s="17">
        <f>IF(C289="","",D289+IF(F289="Ambil Obat",IF(G289="",0,G289),0))</f>
        <v/>
      </c>
      <c r="J289" s="12" t="n"/>
      <c r="K289" s="18" t="inlineStr">
        <is>
          <t>▼</t>
        </is>
      </c>
    </row>
    <row r="290" ht="24" customHeight="1" s="314">
      <c r="A290" s="248">
        <f>IF(COUNTA(C278:C289)=0,"— belum ada data —","📊 Sub-total  "&amp; TEXT(B278,"DD MMM YYYY") &amp;"  ("&amp;COUNTA(C278:C289)&amp;" pasien)")</f>
        <v/>
      </c>
      <c r="B290" s="316" t="n"/>
      <c r="C290" s="316" t="n"/>
      <c r="D290" s="19">
        <f>IF(COUNTA(C278:C289)=0,"",SUM(D278:D289))</f>
        <v/>
      </c>
      <c r="E290" s="20">
        <f>IF(COUNTA(C278:C289)=0,"",SUMIF(E278:E289,"Cash",D278:D289))</f>
        <v/>
      </c>
      <c r="F290" s="21">
        <f>IF(COUNTA(C278:C289)=0,"",SUMIF(E278:E289,"Transfer Bank",D278:D289))</f>
        <v/>
      </c>
      <c r="G290" s="19">
        <f>IF(COUNTA(C278:C289)=0,"",SUMIF(F278:F289,"Ambil Obat",G278:G289))</f>
        <v/>
      </c>
      <c r="H290" s="20">
        <f>IF(COUNTA(C278:C289)=0,"",SUMIFS(G278:G289,H278:H289,"Cash",F278:F289,"Ambil Obat"))</f>
        <v/>
      </c>
      <c r="I290" s="21">
        <f>IF(COUNTA(C278:C289)=0,"",SUMIFS(G278:G289,H278:H289,"Transfer Bank",F278:F289,"Ambil Obat"))</f>
        <v/>
      </c>
      <c r="J290" s="22" t="n"/>
      <c r="K290" s="23">
        <f>IF(COUNTA(C278:C289)=0,"",D290+G290)</f>
        <v/>
      </c>
    </row>
    <row r="291" ht="24" customHeight="1" s="314">
      <c r="A291" s="249" t="inlineStr">
        <is>
          <t>📅  Kamis, 14 Mei 2026</t>
        </is>
      </c>
      <c r="B291" s="5" t="n"/>
      <c r="C291" s="5" t="n"/>
      <c r="D291" s="5" t="n"/>
      <c r="E291" s="5" t="n"/>
      <c r="F291" s="5" t="n"/>
      <c r="G291" s="5" t="n"/>
      <c r="H291" s="5" t="n"/>
      <c r="I291" s="5" t="n"/>
      <c r="J291" s="4" t="inlineStr">
        <is>
          <t>dr. ARIF</t>
        </is>
      </c>
      <c r="K291" s="5" t="n"/>
    </row>
    <row r="292" ht="21.75" customHeight="1" s="314">
      <c r="A292" s="6" t="n">
        <v>1</v>
      </c>
      <c r="B292" s="7" t="n">
        <v>46156</v>
      </c>
      <c r="C292" s="8" t="n"/>
      <c r="D292" s="16" t="n"/>
      <c r="E292" s="10" t="inlineStr">
        <is>
          <t>▼</t>
        </is>
      </c>
      <c r="F292" s="10" t="inlineStr">
        <is>
          <t>▼</t>
        </is>
      </c>
      <c r="G292" s="9" t="n"/>
      <c r="H292" s="10" t="inlineStr">
        <is>
          <t>▼</t>
        </is>
      </c>
      <c r="I292" s="11">
        <f>IF(C292="","",D292+IF(F292="Ambil Obat",IF(G292="",0,G292),0))</f>
        <v/>
      </c>
      <c r="J292" s="12" t="n"/>
      <c r="K292" s="13" t="inlineStr">
        <is>
          <t>▼</t>
        </is>
      </c>
    </row>
    <row r="293" ht="21.75" customHeight="1" s="314">
      <c r="A293" s="6" t="n">
        <v>2</v>
      </c>
      <c r="B293" s="7" t="n">
        <v>46156</v>
      </c>
      <c r="C293" s="14" t="n"/>
      <c r="D293" s="16" t="n"/>
      <c r="E293" s="15" t="inlineStr">
        <is>
          <t>▼</t>
        </is>
      </c>
      <c r="F293" s="15" t="inlineStr">
        <is>
          <t>▼</t>
        </is>
      </c>
      <c r="G293" s="16" t="n"/>
      <c r="H293" s="15" t="inlineStr">
        <is>
          <t>▼</t>
        </is>
      </c>
      <c r="I293" s="17">
        <f>IF(C293="","",D293+IF(F293="Ambil Obat",IF(G293="",0,G293),0))</f>
        <v/>
      </c>
      <c r="J293" s="12" t="n"/>
      <c r="K293" s="18" t="inlineStr">
        <is>
          <t>▼</t>
        </is>
      </c>
    </row>
    <row r="294" ht="21.75" customHeight="1" s="314">
      <c r="A294" s="6" t="n">
        <v>3</v>
      </c>
      <c r="B294" s="7" t="n">
        <v>46156</v>
      </c>
      <c r="C294" s="8" t="n"/>
      <c r="D294" s="9" t="n"/>
      <c r="E294" s="10" t="inlineStr">
        <is>
          <t>▼</t>
        </is>
      </c>
      <c r="F294" s="10" t="inlineStr">
        <is>
          <t>▼</t>
        </is>
      </c>
      <c r="G294" s="9" t="n"/>
      <c r="H294" s="10" t="inlineStr">
        <is>
          <t>▼</t>
        </is>
      </c>
      <c r="I294" s="11">
        <f>IF(C294="","",D294+IF(F294="Ambil Obat",IF(G294="",0,G294),0))</f>
        <v/>
      </c>
      <c r="J294" s="12" t="n"/>
      <c r="K294" s="13" t="inlineStr">
        <is>
          <t>▼</t>
        </is>
      </c>
    </row>
    <row r="295" ht="21.75" customHeight="1" s="314">
      <c r="A295" s="6" t="n">
        <v>4</v>
      </c>
      <c r="B295" s="7" t="n">
        <v>46156</v>
      </c>
      <c r="C295" s="14" t="n"/>
      <c r="D295" s="16" t="n"/>
      <c r="E295" s="15" t="inlineStr">
        <is>
          <t>▼</t>
        </is>
      </c>
      <c r="F295" s="15" t="inlineStr">
        <is>
          <t>▼</t>
        </is>
      </c>
      <c r="G295" s="16" t="n"/>
      <c r="H295" s="15" t="inlineStr">
        <is>
          <t>▼</t>
        </is>
      </c>
      <c r="I295" s="17">
        <f>IF(C295="","",D295+IF(F295="Ambil Obat",IF(G295="",0,G295),0))</f>
        <v/>
      </c>
      <c r="J295" s="12" t="n"/>
      <c r="K295" s="18" t="inlineStr">
        <is>
          <t>▼</t>
        </is>
      </c>
    </row>
    <row r="296" ht="21.75" customHeight="1" s="314">
      <c r="A296" s="6" t="n">
        <v>5</v>
      </c>
      <c r="B296" s="7" t="n">
        <v>46156</v>
      </c>
      <c r="C296" s="8" t="n"/>
      <c r="D296" s="9" t="n"/>
      <c r="E296" s="10" t="inlineStr">
        <is>
          <t>▼</t>
        </is>
      </c>
      <c r="F296" s="10" t="inlineStr">
        <is>
          <t>▼</t>
        </is>
      </c>
      <c r="G296" s="9" t="n"/>
      <c r="H296" s="10" t="inlineStr">
        <is>
          <t>▼</t>
        </is>
      </c>
      <c r="I296" s="11">
        <f>IF(C296="","",D296+IF(F296="Ambil Obat",IF(G296="",0,G296),0))</f>
        <v/>
      </c>
      <c r="J296" s="12" t="n"/>
      <c r="K296" s="13" t="inlineStr">
        <is>
          <t>▼</t>
        </is>
      </c>
    </row>
    <row r="297" ht="21.75" customHeight="1" s="314">
      <c r="A297" s="6" t="n">
        <v>6</v>
      </c>
      <c r="B297" s="7" t="n">
        <v>46156</v>
      </c>
      <c r="C297" s="14" t="n"/>
      <c r="D297" s="9" t="n"/>
      <c r="E297" s="15" t="inlineStr">
        <is>
          <t>▼</t>
        </is>
      </c>
      <c r="F297" s="15" t="inlineStr">
        <is>
          <t>▼</t>
        </is>
      </c>
      <c r="G297" s="16" t="n"/>
      <c r="H297" s="15" t="inlineStr">
        <is>
          <t>▼</t>
        </is>
      </c>
      <c r="I297" s="17">
        <f>IF(C297="","",D297+IF(F297="Ambil Obat",IF(G297="",0,G297),0))</f>
        <v/>
      </c>
      <c r="J297" s="12" t="n"/>
      <c r="K297" s="18" t="inlineStr">
        <is>
          <t>▼</t>
        </is>
      </c>
    </row>
    <row r="298" ht="21.75" customHeight="1" s="314">
      <c r="A298" s="6" t="n">
        <v>7</v>
      </c>
      <c r="B298" s="7" t="n">
        <v>46156</v>
      </c>
      <c r="C298" s="14" t="n"/>
      <c r="D298" s="16" t="n"/>
      <c r="E298" s="15" t="inlineStr">
        <is>
          <t>▼</t>
        </is>
      </c>
      <c r="F298" s="15" t="inlineStr">
        <is>
          <t>▼</t>
        </is>
      </c>
      <c r="G298" s="16" t="n"/>
      <c r="H298" s="15" t="inlineStr">
        <is>
          <t>▼</t>
        </is>
      </c>
      <c r="I298" s="17">
        <f>IF(C298="","",D298+IF(F298="Ambil Obat",IF(G298="",0,G298),0))</f>
        <v/>
      </c>
      <c r="J298" s="12" t="n"/>
      <c r="K298" s="315" t="n"/>
    </row>
    <row r="299" ht="24" customHeight="1" s="314">
      <c r="A299" s="248">
        <f>IF(COUNTA(C292:C297)=0,"— belum ada data —","📊 Sub-total  "&amp; TEXT(B292,"DD MMM YYYY") &amp;"  ("&amp;COUNTA(C292:C297)&amp;" pasien)")</f>
        <v/>
      </c>
      <c r="B299" s="316" t="n"/>
      <c r="C299" s="316" t="n"/>
      <c r="D299" s="19">
        <f>IF(COUNTA(C292:C298)=0,"",SUM(D292:D298))</f>
        <v/>
      </c>
      <c r="E299" s="20">
        <f>IF(COUNTA(C292:C297)=0,"",SUMIF(E292:E297,"Cash",D292:D297))</f>
        <v/>
      </c>
      <c r="F299" s="21">
        <f>IF(COUNTA(C292:C297)=0,"",SUMIF(E292:E297,"Transfer Bank",D292:D297))</f>
        <v/>
      </c>
      <c r="G299" s="19">
        <f>IF(COUNTA(C292:C298)=0,"",SUMIF(F292:F298,"Ambil Obat",G292:G298))</f>
        <v/>
      </c>
      <c r="H299" s="20">
        <f>IF(COUNTA(C292:C297)=0,"",SUMIFS(G292:G297,H292:H297,"Cash",F292:F297,"Ambil Obat"))</f>
        <v/>
      </c>
      <c r="I299" s="21">
        <f>IF(COUNTA(C292:C298)=0,"",SUMIFS(G292:G298,H292:H298,"Transfer Bank",F292:F298,"Ambil Obat"))</f>
        <v/>
      </c>
      <c r="J299" s="22" t="n"/>
      <c r="K299" s="23">
        <f>IF(COUNTA(C292:C298)=0,"",D299+G299)</f>
        <v/>
      </c>
    </row>
    <row r="300" ht="24" customHeight="1" s="314">
      <c r="A300" s="249" t="inlineStr">
        <is>
          <t>📅  Jumat, 15 Mei 2026</t>
        </is>
      </c>
      <c r="B300" s="5" t="n"/>
      <c r="C300" s="5" t="n"/>
      <c r="D300" s="5" t="n"/>
      <c r="E300" s="5" t="n"/>
      <c r="F300" s="5" t="n"/>
      <c r="G300" s="5" t="n"/>
      <c r="H300" s="5" t="n"/>
      <c r="I300" s="5" t="n"/>
      <c r="J300" s="4" t="inlineStr">
        <is>
          <t>dr. JOJO</t>
        </is>
      </c>
      <c r="K300" s="5" t="n"/>
    </row>
    <row r="301" ht="21.75" customHeight="1" s="314">
      <c r="A301" s="6">
        <f>IF(C301="","",661)</f>
        <v/>
      </c>
      <c r="B301" s="7" t="n">
        <v>46157</v>
      </c>
      <c r="C301" s="8" t="n"/>
      <c r="D301" s="9" t="n"/>
      <c r="E301" s="10" t="inlineStr">
        <is>
          <t>▼</t>
        </is>
      </c>
      <c r="F301" s="10" t="inlineStr">
        <is>
          <t>▼</t>
        </is>
      </c>
      <c r="G301" s="9" t="n"/>
      <c r="H301" s="10" t="inlineStr">
        <is>
          <t>▼</t>
        </is>
      </c>
      <c r="I301" s="11">
        <f>IF(C301="","",D301+IF(F301="Ambil Obat",IF(G301="",0,G301),0))</f>
        <v/>
      </c>
      <c r="J301" s="12">
        <f>$J$300</f>
        <v/>
      </c>
      <c r="K301" s="13" t="inlineStr">
        <is>
          <t>▼</t>
        </is>
      </c>
    </row>
    <row r="302" ht="21.75" customHeight="1" s="314">
      <c r="A302" s="32">
        <f>IF(C302="","",662)</f>
        <v/>
      </c>
      <c r="B302" s="7" t="n">
        <v>46157</v>
      </c>
      <c r="C302" s="14" t="n"/>
      <c r="D302" s="16" t="n"/>
      <c r="E302" s="15" t="inlineStr">
        <is>
          <t>▼</t>
        </is>
      </c>
      <c r="F302" s="15" t="inlineStr">
        <is>
          <t>▼</t>
        </is>
      </c>
      <c r="G302" s="16" t="n"/>
      <c r="H302" s="15" t="inlineStr">
        <is>
          <t>▼</t>
        </is>
      </c>
      <c r="I302" s="17">
        <f>IF(C302="","",D302+IF(F302="Ambil Obat",IF(G302="",0,G302),0))</f>
        <v/>
      </c>
      <c r="J302" s="12">
        <f>$J$300</f>
        <v/>
      </c>
      <c r="K302" s="18" t="inlineStr">
        <is>
          <t>▼</t>
        </is>
      </c>
    </row>
    <row r="303" ht="21.75" customHeight="1" s="314">
      <c r="A303" s="6">
        <f>IF(C303="","",663)</f>
        <v/>
      </c>
      <c r="B303" s="7" t="n">
        <v>46157</v>
      </c>
      <c r="C303" s="8" t="n"/>
      <c r="D303" s="9" t="n"/>
      <c r="E303" s="10" t="inlineStr">
        <is>
          <t>▼</t>
        </is>
      </c>
      <c r="F303" s="10" t="inlineStr">
        <is>
          <t>▼</t>
        </is>
      </c>
      <c r="G303" s="9" t="n"/>
      <c r="H303" s="10" t="inlineStr">
        <is>
          <t>▼</t>
        </is>
      </c>
      <c r="I303" s="11">
        <f>IF(C303="","",D303+IF(F303="Ambil Obat",IF(G303="",0,G303),0))</f>
        <v/>
      </c>
      <c r="J303" s="12">
        <f>$J$300</f>
        <v/>
      </c>
      <c r="K303" s="13" t="inlineStr">
        <is>
          <t>▼</t>
        </is>
      </c>
    </row>
    <row r="304" ht="21.75" customHeight="1" s="314">
      <c r="A304" s="32">
        <f>IF(C304="","",664)</f>
        <v/>
      </c>
      <c r="B304" s="7" t="n">
        <v>46157</v>
      </c>
      <c r="C304" s="14" t="n"/>
      <c r="D304" s="16" t="n"/>
      <c r="E304" s="15" t="inlineStr">
        <is>
          <t>▼</t>
        </is>
      </c>
      <c r="F304" s="15" t="inlineStr">
        <is>
          <t>▼</t>
        </is>
      </c>
      <c r="G304" s="16" t="n"/>
      <c r="H304" s="15" t="inlineStr">
        <is>
          <t>▼</t>
        </is>
      </c>
      <c r="I304" s="17">
        <f>IF(C304="","",D304+IF(F304="Ambil Obat",IF(G304="",0,G304),0))</f>
        <v/>
      </c>
      <c r="J304" s="12">
        <f>$J$300</f>
        <v/>
      </c>
      <c r="K304" s="18" t="inlineStr">
        <is>
          <t>▼</t>
        </is>
      </c>
    </row>
    <row r="305" ht="21.75" customHeight="1" s="314">
      <c r="A305" s="6">
        <f>IF(C305="","",665)</f>
        <v/>
      </c>
      <c r="B305" s="7" t="n">
        <v>46157</v>
      </c>
      <c r="C305" s="8" t="n"/>
      <c r="D305" s="9" t="n"/>
      <c r="E305" s="10" t="inlineStr">
        <is>
          <t>▼</t>
        </is>
      </c>
      <c r="F305" s="10" t="inlineStr">
        <is>
          <t>▼</t>
        </is>
      </c>
      <c r="G305" s="9" t="n"/>
      <c r="H305" s="10" t="inlineStr">
        <is>
          <t>▼</t>
        </is>
      </c>
      <c r="I305" s="11">
        <f>IF(C305="","",D305+IF(F305="Ambil Obat",IF(G305="",0,G305),0))</f>
        <v/>
      </c>
      <c r="J305" s="12">
        <f>$J$300</f>
        <v/>
      </c>
      <c r="K305" s="13" t="inlineStr">
        <is>
          <t>▼</t>
        </is>
      </c>
    </row>
    <row r="306" ht="21.75" customHeight="1" s="314">
      <c r="A306" s="32">
        <f>IF(C306="","",666)</f>
        <v/>
      </c>
      <c r="B306" s="7" t="n">
        <v>46157</v>
      </c>
      <c r="C306" s="14" t="n"/>
      <c r="D306" s="16" t="n"/>
      <c r="E306" s="15" t="inlineStr">
        <is>
          <t>▼</t>
        </is>
      </c>
      <c r="F306" s="15" t="inlineStr">
        <is>
          <t>▼</t>
        </is>
      </c>
      <c r="G306" s="16" t="n"/>
      <c r="H306" s="15" t="inlineStr">
        <is>
          <t>▼</t>
        </is>
      </c>
      <c r="I306" s="17">
        <f>IF(C306="","",D306+IF(F306="Ambil Obat",IF(G306="",0,G306),0))</f>
        <v/>
      </c>
      <c r="J306" s="12">
        <f>$J$300</f>
        <v/>
      </c>
      <c r="K306" s="18" t="inlineStr">
        <is>
          <t>▼</t>
        </is>
      </c>
    </row>
    <row r="307" ht="21.75" customHeight="1" s="314">
      <c r="A307" s="6">
        <f>IF(C307="","",667)</f>
        <v/>
      </c>
      <c r="B307" s="7" t="n">
        <v>46157</v>
      </c>
      <c r="C307" s="8" t="n"/>
      <c r="D307" s="9" t="n"/>
      <c r="E307" s="10" t="inlineStr">
        <is>
          <t>▼</t>
        </is>
      </c>
      <c r="F307" s="10" t="inlineStr">
        <is>
          <t>▼</t>
        </is>
      </c>
      <c r="G307" s="9" t="n"/>
      <c r="H307" s="10" t="inlineStr">
        <is>
          <t>▼</t>
        </is>
      </c>
      <c r="I307" s="11">
        <f>IF(C307="","",D307+IF(F307="Ambil Obat",IF(G307="",0,G307),0))</f>
        <v/>
      </c>
      <c r="J307" s="12">
        <f>$J$300</f>
        <v/>
      </c>
      <c r="K307" s="13" t="inlineStr">
        <is>
          <t>▼</t>
        </is>
      </c>
    </row>
    <row r="308" ht="21.75" customHeight="1" s="314">
      <c r="A308" s="32">
        <f>IF(C308="","",668)</f>
        <v/>
      </c>
      <c r="B308" s="7" t="n">
        <v>46157</v>
      </c>
      <c r="C308" s="14" t="n"/>
      <c r="D308" s="16" t="n"/>
      <c r="E308" s="15" t="inlineStr">
        <is>
          <t>▼</t>
        </is>
      </c>
      <c r="F308" s="15" t="inlineStr">
        <is>
          <t>▼</t>
        </is>
      </c>
      <c r="G308" s="16" t="n"/>
      <c r="H308" s="15" t="inlineStr">
        <is>
          <t>▼</t>
        </is>
      </c>
      <c r="I308" s="17">
        <f>IF(C308="","",D308+IF(F308="Ambil Obat",IF(G308="",0,G308),0))</f>
        <v/>
      </c>
      <c r="J308" s="12">
        <f>$J$300</f>
        <v/>
      </c>
      <c r="K308" s="18" t="inlineStr">
        <is>
          <t>▼</t>
        </is>
      </c>
    </row>
    <row r="309" ht="21.75" customHeight="1" s="314">
      <c r="A309" s="6">
        <f>IF(C309="","",669)</f>
        <v/>
      </c>
      <c r="B309" s="7" t="n">
        <v>46157</v>
      </c>
      <c r="C309" s="8" t="n"/>
      <c r="D309" s="9" t="n"/>
      <c r="E309" s="10" t="inlineStr">
        <is>
          <t>▼</t>
        </is>
      </c>
      <c r="F309" s="10" t="inlineStr">
        <is>
          <t>▼</t>
        </is>
      </c>
      <c r="G309" s="9" t="n"/>
      <c r="H309" s="10" t="inlineStr">
        <is>
          <t>▼</t>
        </is>
      </c>
      <c r="I309" s="11">
        <f>IF(C309="","",D309+IF(F309="Ambil Obat",IF(G309="",0,G309),0))</f>
        <v/>
      </c>
      <c r="J309" s="12">
        <f>$J$300</f>
        <v/>
      </c>
      <c r="K309" s="13" t="inlineStr">
        <is>
          <t>▼</t>
        </is>
      </c>
    </row>
    <row r="310" ht="21.75" customHeight="1" s="314">
      <c r="A310" s="32">
        <f>IF(C310="","",670)</f>
        <v/>
      </c>
      <c r="B310" s="7" t="n">
        <v>46157</v>
      </c>
      <c r="C310" s="14" t="n"/>
      <c r="D310" s="16" t="n"/>
      <c r="E310" s="15" t="inlineStr">
        <is>
          <t>▼</t>
        </is>
      </c>
      <c r="F310" s="15" t="inlineStr">
        <is>
          <t>▼</t>
        </is>
      </c>
      <c r="G310" s="16" t="n"/>
      <c r="H310" s="15" t="inlineStr">
        <is>
          <t>▼</t>
        </is>
      </c>
      <c r="I310" s="17">
        <f>IF(C310="","",D310+IF(F310="Ambil Obat",IF(G310="",0,G310),0))</f>
        <v/>
      </c>
      <c r="J310" s="12">
        <f>$J$300</f>
        <v/>
      </c>
      <c r="K310" s="18" t="inlineStr">
        <is>
          <t>▼</t>
        </is>
      </c>
    </row>
    <row r="311" ht="21.75" customHeight="1" s="314">
      <c r="A311" s="6">
        <f>IF(C311="","",671)</f>
        <v/>
      </c>
      <c r="B311" s="7" t="n">
        <v>46157</v>
      </c>
      <c r="C311" s="8" t="n"/>
      <c r="D311" s="9" t="n"/>
      <c r="E311" s="10" t="inlineStr">
        <is>
          <t>▼</t>
        </is>
      </c>
      <c r="F311" s="10" t="inlineStr">
        <is>
          <t>▼</t>
        </is>
      </c>
      <c r="G311" s="9" t="n"/>
      <c r="H311" s="10" t="inlineStr">
        <is>
          <t>▼</t>
        </is>
      </c>
      <c r="I311" s="11">
        <f>IF(C311="","",D311+IF(F311="Ambil Obat",IF(G311="",0,G311),0))</f>
        <v/>
      </c>
      <c r="J311" s="12">
        <f>$J$300</f>
        <v/>
      </c>
      <c r="K311" s="13" t="inlineStr">
        <is>
          <t>▼</t>
        </is>
      </c>
    </row>
    <row r="312" ht="21.75" customHeight="1" s="314">
      <c r="A312" s="32">
        <f>IF(C312="","",672)</f>
        <v/>
      </c>
      <c r="B312" s="7" t="n">
        <v>46157</v>
      </c>
      <c r="C312" s="14" t="n"/>
      <c r="D312" s="16" t="n"/>
      <c r="E312" s="15" t="inlineStr">
        <is>
          <t>▼</t>
        </is>
      </c>
      <c r="F312" s="15" t="inlineStr">
        <is>
          <t>▼</t>
        </is>
      </c>
      <c r="G312" s="16" t="n"/>
      <c r="H312" s="15" t="inlineStr">
        <is>
          <t>▼</t>
        </is>
      </c>
      <c r="I312" s="17">
        <f>IF(C312="","",D312+IF(F312="Ambil Obat",IF(G312="",0,G312),0))</f>
        <v/>
      </c>
      <c r="J312" s="12">
        <f>$J$300</f>
        <v/>
      </c>
      <c r="K312" s="18" t="inlineStr">
        <is>
          <t>▼</t>
        </is>
      </c>
    </row>
    <row r="313" ht="21.75" customHeight="1" s="314">
      <c r="A313" s="6">
        <f>IF(C313="","",673)</f>
        <v/>
      </c>
      <c r="B313" s="7" t="n">
        <v>46157</v>
      </c>
      <c r="C313" s="8" t="n"/>
      <c r="D313" s="9" t="n"/>
      <c r="E313" s="10" t="inlineStr">
        <is>
          <t>▼</t>
        </is>
      </c>
      <c r="F313" s="10" t="inlineStr">
        <is>
          <t>▼</t>
        </is>
      </c>
      <c r="G313" s="9" t="n"/>
      <c r="H313" s="10" t="inlineStr">
        <is>
          <t>▼</t>
        </is>
      </c>
      <c r="I313" s="11">
        <f>IF(C313="","",D313+IF(F313="Ambil Obat",IF(G313="",0,G313),0))</f>
        <v/>
      </c>
      <c r="J313" s="12">
        <f>$J$300</f>
        <v/>
      </c>
      <c r="K313" s="13" t="inlineStr">
        <is>
          <t>▼</t>
        </is>
      </c>
    </row>
    <row r="314" ht="21.75" customHeight="1" s="314">
      <c r="A314" s="32">
        <f>IF(C314="","",674)</f>
        <v/>
      </c>
      <c r="B314" s="7" t="n">
        <v>46157</v>
      </c>
      <c r="C314" s="14" t="n"/>
      <c r="D314" s="16" t="n"/>
      <c r="E314" s="15" t="inlineStr">
        <is>
          <t>▼</t>
        </is>
      </c>
      <c r="F314" s="15" t="inlineStr">
        <is>
          <t>▼</t>
        </is>
      </c>
      <c r="G314" s="16" t="n"/>
      <c r="H314" s="15" t="inlineStr">
        <is>
          <t>▼</t>
        </is>
      </c>
      <c r="I314" s="17">
        <f>IF(C314="","",D314+IF(F314="Ambil Obat",IF(G314="",0,G314),0))</f>
        <v/>
      </c>
      <c r="J314" s="12">
        <f>$J$300</f>
        <v/>
      </c>
      <c r="K314" s="18" t="inlineStr">
        <is>
          <t>▼</t>
        </is>
      </c>
    </row>
    <row r="315" ht="21.75" customHeight="1" s="314">
      <c r="A315" s="6">
        <f>IF(C315="","",675)</f>
        <v/>
      </c>
      <c r="B315" s="7" t="n">
        <v>46157</v>
      </c>
      <c r="C315" s="8" t="n"/>
      <c r="D315" s="9" t="n"/>
      <c r="E315" s="10" t="inlineStr">
        <is>
          <t>▼</t>
        </is>
      </c>
      <c r="F315" s="10" t="inlineStr">
        <is>
          <t>▼</t>
        </is>
      </c>
      <c r="G315" s="9" t="n"/>
      <c r="H315" s="10" t="inlineStr">
        <is>
          <t>▼</t>
        </is>
      </c>
      <c r="I315" s="11">
        <f>IF(C315="","",D315+IF(F315="Ambil Obat",IF(G315="",0,G315),0))</f>
        <v/>
      </c>
      <c r="J315" s="12">
        <f>$J$300</f>
        <v/>
      </c>
      <c r="K315" s="13" t="inlineStr">
        <is>
          <t>▼</t>
        </is>
      </c>
    </row>
    <row r="316" ht="24" customHeight="1" s="314">
      <c r="A316" s="248">
        <f>IF(COUNTA(C301:C315)=0,"— belum ada data —","📊 Sub-total  "&amp; TEXT(B301,"DD MMM YYYY") &amp;"  ("&amp;COUNTA(C301:C315)&amp;" pasien)")</f>
        <v/>
      </c>
      <c r="B316" s="316" t="n"/>
      <c r="C316" s="316" t="n"/>
      <c r="D316" s="19">
        <f>IF(COUNTA(C301:C315)=0,"",SUM(D301:D315))</f>
        <v/>
      </c>
      <c r="E316" s="20">
        <f>IF(COUNTA(C301:C315)=0,"",SUMIF(E301:E315,"Cash",D301:D315))</f>
        <v/>
      </c>
      <c r="F316" s="21">
        <f>IF(COUNTA(C301:C315)=0,"",SUMIF(E301:E315,"Transfer Bank",D301:D315))</f>
        <v/>
      </c>
      <c r="G316" s="19">
        <f>IF(COUNTA(C301:C315)=0,"",SUMIF(F301:F315,"Ambil Obat",G301:G315))</f>
        <v/>
      </c>
      <c r="H316" s="20">
        <f>IF(COUNTA(C301:C315)=0,"",SUMIFS(G301:G315,H301:H315,"Cash",F301:F315,"Ambil Obat"))</f>
        <v/>
      </c>
      <c r="I316" s="21">
        <f>IF(COUNTA(C301:C315)=0,"",SUMIFS(G301:G315,H301:H315,"Transfer Bank",F301:F315,"Ambil Obat"))</f>
        <v/>
      </c>
      <c r="J316" s="22" t="n"/>
      <c r="K316" s="23">
        <f>IF(COUNTA(C301:C315)=0,"",D316+G316)</f>
        <v/>
      </c>
    </row>
    <row r="317" ht="24" customHeight="1" s="314">
      <c r="A317" s="249" t="inlineStr">
        <is>
          <t>📅  Sabtu, 16 Mei 2026</t>
        </is>
      </c>
      <c r="B317" s="5" t="n"/>
      <c r="C317" s="5" t="n"/>
      <c r="D317" s="5" t="n"/>
      <c r="E317" s="5" t="n"/>
      <c r="F317" s="5" t="n"/>
      <c r="G317" s="5" t="n"/>
      <c r="H317" s="5" t="n"/>
      <c r="I317" s="5" t="n"/>
      <c r="J317" s="4" t="inlineStr">
        <is>
          <t>dr. HAWA</t>
        </is>
      </c>
      <c r="K317" s="5" t="n"/>
    </row>
    <row r="318" ht="21.75" customHeight="1" s="314">
      <c r="A318" s="6">
        <f>IF(C318="","",676)</f>
        <v/>
      </c>
      <c r="B318" s="7" t="n">
        <v>46158</v>
      </c>
      <c r="C318" s="8" t="n"/>
      <c r="D318" s="9" t="n"/>
      <c r="E318" s="10" t="inlineStr">
        <is>
          <t>▼</t>
        </is>
      </c>
      <c r="F318" s="10" t="inlineStr">
        <is>
          <t>▼</t>
        </is>
      </c>
      <c r="G318" s="9" t="n"/>
      <c r="H318" s="10" t="inlineStr">
        <is>
          <t>▼</t>
        </is>
      </c>
      <c r="I318" s="11">
        <f>IF(C318="","",D318+IF(F318="Ambil Obat",IF(G318="",0,G318),0))</f>
        <v/>
      </c>
      <c r="J318" s="12">
        <f>$J$317</f>
        <v/>
      </c>
      <c r="K318" s="13" t="inlineStr">
        <is>
          <t>▼</t>
        </is>
      </c>
    </row>
    <row r="319" ht="21.75" customHeight="1" s="314">
      <c r="A319" s="32">
        <f>IF(C319="","",677)</f>
        <v/>
      </c>
      <c r="B319" s="7" t="n">
        <v>46158</v>
      </c>
      <c r="C319" s="14" t="n"/>
      <c r="D319" s="16" t="n"/>
      <c r="E319" s="15" t="inlineStr">
        <is>
          <t>▼</t>
        </is>
      </c>
      <c r="F319" s="15" t="inlineStr">
        <is>
          <t>▼</t>
        </is>
      </c>
      <c r="G319" s="16" t="n"/>
      <c r="H319" s="15" t="inlineStr">
        <is>
          <t>▼</t>
        </is>
      </c>
      <c r="I319" s="17">
        <f>IF(C319="","",D319+IF(F319="Ambil Obat",IF(G319="",0,G319),0))</f>
        <v/>
      </c>
      <c r="J319" s="12">
        <f>$J$317</f>
        <v/>
      </c>
      <c r="K319" s="18" t="inlineStr">
        <is>
          <t>▼</t>
        </is>
      </c>
    </row>
    <row r="320" ht="21.75" customHeight="1" s="314">
      <c r="A320" s="6">
        <f>IF(C320="","",678)</f>
        <v/>
      </c>
      <c r="B320" s="7" t="n">
        <v>46158</v>
      </c>
      <c r="C320" s="8" t="n"/>
      <c r="D320" s="9" t="n"/>
      <c r="E320" s="10" t="inlineStr">
        <is>
          <t>▼</t>
        </is>
      </c>
      <c r="F320" s="10" t="inlineStr">
        <is>
          <t>▼</t>
        </is>
      </c>
      <c r="G320" s="9" t="n"/>
      <c r="H320" s="10" t="inlineStr">
        <is>
          <t>▼</t>
        </is>
      </c>
      <c r="I320" s="11">
        <f>IF(C320="","",D320+IF(F320="Ambil Obat",IF(G320="",0,G320),0))</f>
        <v/>
      </c>
      <c r="J320" s="12">
        <f>$J$317</f>
        <v/>
      </c>
      <c r="K320" s="13" t="inlineStr">
        <is>
          <t>▼</t>
        </is>
      </c>
    </row>
    <row r="321" ht="21.75" customHeight="1" s="314">
      <c r="A321" s="32">
        <f>IF(C321="","",679)</f>
        <v/>
      </c>
      <c r="B321" s="7" t="n">
        <v>46158</v>
      </c>
      <c r="C321" s="14" t="n"/>
      <c r="D321" s="16" t="n"/>
      <c r="E321" s="15" t="inlineStr">
        <is>
          <t>▼</t>
        </is>
      </c>
      <c r="F321" s="15" t="inlineStr">
        <is>
          <t>▼</t>
        </is>
      </c>
      <c r="G321" s="16" t="n"/>
      <c r="H321" s="15" t="inlineStr">
        <is>
          <t>▼</t>
        </is>
      </c>
      <c r="I321" s="17">
        <f>IF(C321="","",D321+IF(F321="Ambil Obat",IF(G321="",0,G321),0))</f>
        <v/>
      </c>
      <c r="J321" s="12">
        <f>$J$317</f>
        <v/>
      </c>
      <c r="K321" s="18" t="inlineStr">
        <is>
          <t>▼</t>
        </is>
      </c>
    </row>
    <row r="322" ht="21.75" customHeight="1" s="314">
      <c r="A322" s="6">
        <f>IF(C322="","",680)</f>
        <v/>
      </c>
      <c r="B322" s="7" t="n">
        <v>46158</v>
      </c>
      <c r="C322" s="8" t="n"/>
      <c r="D322" s="9" t="n"/>
      <c r="E322" s="10" t="inlineStr">
        <is>
          <t>▼</t>
        </is>
      </c>
      <c r="F322" s="10" t="inlineStr">
        <is>
          <t>▼</t>
        </is>
      </c>
      <c r="G322" s="9" t="n"/>
      <c r="H322" s="10" t="inlineStr">
        <is>
          <t>▼</t>
        </is>
      </c>
      <c r="I322" s="11">
        <f>IF(C322="","",D322+IF(F322="Ambil Obat",IF(G322="",0,G322),0))</f>
        <v/>
      </c>
      <c r="J322" s="12">
        <f>$J$317</f>
        <v/>
      </c>
      <c r="K322" s="13" t="inlineStr">
        <is>
          <t>▼</t>
        </is>
      </c>
    </row>
    <row r="323" ht="21.75" customHeight="1" s="314">
      <c r="A323" s="32">
        <f>IF(C323="","",681)</f>
        <v/>
      </c>
      <c r="B323" s="7" t="n">
        <v>46158</v>
      </c>
      <c r="C323" s="14" t="n"/>
      <c r="D323" s="16" t="n"/>
      <c r="E323" s="15" t="inlineStr">
        <is>
          <t>▼</t>
        </is>
      </c>
      <c r="F323" s="15" t="inlineStr">
        <is>
          <t>▼</t>
        </is>
      </c>
      <c r="G323" s="16" t="n"/>
      <c r="H323" s="15" t="inlineStr">
        <is>
          <t>▼</t>
        </is>
      </c>
      <c r="I323" s="17">
        <f>IF(C323="","",D323+IF(F323="Ambil Obat",IF(G323="",0,G323),0))</f>
        <v/>
      </c>
      <c r="J323" s="12">
        <f>$J$317</f>
        <v/>
      </c>
      <c r="K323" s="18" t="inlineStr">
        <is>
          <t>▼</t>
        </is>
      </c>
    </row>
    <row r="324" ht="21.75" customHeight="1" s="314">
      <c r="A324" s="6">
        <f>IF(C324="","",682)</f>
        <v/>
      </c>
      <c r="B324" s="7" t="n">
        <v>46158</v>
      </c>
      <c r="C324" s="8" t="n"/>
      <c r="D324" s="9" t="n"/>
      <c r="E324" s="10" t="inlineStr">
        <is>
          <t>▼</t>
        </is>
      </c>
      <c r="F324" s="10" t="inlineStr">
        <is>
          <t>▼</t>
        </is>
      </c>
      <c r="G324" s="9" t="n"/>
      <c r="H324" s="10" t="inlineStr">
        <is>
          <t>▼</t>
        </is>
      </c>
      <c r="I324" s="11">
        <f>IF(C324="","",D324+IF(F324="Ambil Obat",IF(G324="",0,G324),0))</f>
        <v/>
      </c>
      <c r="J324" s="12">
        <f>$J$317</f>
        <v/>
      </c>
      <c r="K324" s="13" t="inlineStr">
        <is>
          <t>▼</t>
        </is>
      </c>
    </row>
    <row r="325" ht="21.75" customHeight="1" s="314">
      <c r="A325" s="32">
        <f>IF(C325="","",683)</f>
        <v/>
      </c>
      <c r="B325" s="7" t="n">
        <v>46158</v>
      </c>
      <c r="C325" s="14" t="n"/>
      <c r="D325" s="16" t="n"/>
      <c r="E325" s="15" t="inlineStr">
        <is>
          <t>▼</t>
        </is>
      </c>
      <c r="F325" s="15" t="inlineStr">
        <is>
          <t>▼</t>
        </is>
      </c>
      <c r="G325" s="16" t="n"/>
      <c r="H325" s="15" t="inlineStr">
        <is>
          <t>▼</t>
        </is>
      </c>
      <c r="I325" s="17">
        <f>IF(C325="","",D325+IF(F325="Ambil Obat",IF(G325="",0,G325),0))</f>
        <v/>
      </c>
      <c r="J325" s="12">
        <f>$J$317</f>
        <v/>
      </c>
      <c r="K325" s="18" t="inlineStr">
        <is>
          <t>▼</t>
        </is>
      </c>
    </row>
    <row r="326" ht="21.75" customHeight="1" s="314">
      <c r="A326" s="6">
        <f>IF(C326="","",684)</f>
        <v/>
      </c>
      <c r="B326" s="7" t="n">
        <v>46158</v>
      </c>
      <c r="C326" s="8" t="n"/>
      <c r="D326" s="9" t="n"/>
      <c r="E326" s="10" t="inlineStr">
        <is>
          <t>▼</t>
        </is>
      </c>
      <c r="F326" s="10" t="inlineStr">
        <is>
          <t>▼</t>
        </is>
      </c>
      <c r="G326" s="9" t="n"/>
      <c r="H326" s="10" t="inlineStr">
        <is>
          <t>▼</t>
        </is>
      </c>
      <c r="I326" s="11">
        <f>IF(C326="","",D326+IF(F326="Ambil Obat",IF(G326="",0,G326),0))</f>
        <v/>
      </c>
      <c r="J326" s="12">
        <f>$J$317</f>
        <v/>
      </c>
      <c r="K326" s="13" t="inlineStr">
        <is>
          <t>▼</t>
        </is>
      </c>
    </row>
    <row r="327" ht="21.75" customHeight="1" s="314">
      <c r="A327" s="32">
        <f>IF(C327="","",685)</f>
        <v/>
      </c>
      <c r="B327" s="7" t="n">
        <v>46158</v>
      </c>
      <c r="C327" s="14" t="n"/>
      <c r="D327" s="16" t="n"/>
      <c r="E327" s="15" t="inlineStr">
        <is>
          <t>▼</t>
        </is>
      </c>
      <c r="F327" s="15" t="inlineStr">
        <is>
          <t>▼</t>
        </is>
      </c>
      <c r="G327" s="16" t="n"/>
      <c r="H327" s="15" t="inlineStr">
        <is>
          <t>▼</t>
        </is>
      </c>
      <c r="I327" s="17">
        <f>IF(C327="","",D327+IF(F327="Ambil Obat",IF(G327="",0,G327),0))</f>
        <v/>
      </c>
      <c r="J327" s="12">
        <f>$J$317</f>
        <v/>
      </c>
      <c r="K327" s="18" t="inlineStr">
        <is>
          <t>▼</t>
        </is>
      </c>
    </row>
    <row r="328" ht="21.75" customHeight="1" s="314">
      <c r="A328" s="6">
        <f>IF(C328="","",686)</f>
        <v/>
      </c>
      <c r="B328" s="7" t="n">
        <v>46158</v>
      </c>
      <c r="C328" s="8" t="n"/>
      <c r="D328" s="9" t="n"/>
      <c r="E328" s="10" t="inlineStr">
        <is>
          <t>▼</t>
        </is>
      </c>
      <c r="F328" s="10" t="inlineStr">
        <is>
          <t>▼</t>
        </is>
      </c>
      <c r="G328" s="9" t="n"/>
      <c r="H328" s="10" t="inlineStr">
        <is>
          <t>▼</t>
        </is>
      </c>
      <c r="I328" s="11">
        <f>IF(C328="","",D328+IF(F328="Ambil Obat",IF(G328="",0,G328),0))</f>
        <v/>
      </c>
      <c r="J328" s="12">
        <f>$J$317</f>
        <v/>
      </c>
      <c r="K328" s="13" t="inlineStr">
        <is>
          <t>▼</t>
        </is>
      </c>
    </row>
    <row r="329" ht="21.75" customHeight="1" s="314">
      <c r="A329" s="32">
        <f>IF(C329="","",687)</f>
        <v/>
      </c>
      <c r="B329" s="7" t="n">
        <v>46158</v>
      </c>
      <c r="C329" s="14" t="n"/>
      <c r="D329" s="16" t="n"/>
      <c r="E329" s="15" t="inlineStr">
        <is>
          <t>▼</t>
        </is>
      </c>
      <c r="F329" s="15" t="inlineStr">
        <is>
          <t>▼</t>
        </is>
      </c>
      <c r="G329" s="16" t="n"/>
      <c r="H329" s="15" t="inlineStr">
        <is>
          <t>▼</t>
        </is>
      </c>
      <c r="I329" s="17">
        <f>IF(C329="","",D329+IF(F329="Ambil Obat",IF(G329="",0,G329),0))</f>
        <v/>
      </c>
      <c r="J329" s="12">
        <f>$J$317</f>
        <v/>
      </c>
      <c r="K329" s="18" t="inlineStr">
        <is>
          <t>▼</t>
        </is>
      </c>
    </row>
    <row r="330" ht="21.75" customHeight="1" s="314">
      <c r="A330" s="6">
        <f>IF(C330="","",688)</f>
        <v/>
      </c>
      <c r="B330" s="7" t="n">
        <v>46158</v>
      </c>
      <c r="C330" s="8" t="n"/>
      <c r="D330" s="9" t="n"/>
      <c r="E330" s="10" t="inlineStr">
        <is>
          <t>▼</t>
        </is>
      </c>
      <c r="F330" s="10" t="inlineStr">
        <is>
          <t>▼</t>
        </is>
      </c>
      <c r="G330" s="9" t="n"/>
      <c r="H330" s="10" t="inlineStr">
        <is>
          <t>▼</t>
        </is>
      </c>
      <c r="I330" s="11">
        <f>IF(C330="","",D330+IF(F330="Ambil Obat",IF(G330="",0,G330),0))</f>
        <v/>
      </c>
      <c r="J330" s="12">
        <f>$J$317</f>
        <v/>
      </c>
      <c r="K330" s="13" t="inlineStr">
        <is>
          <t>▼</t>
        </is>
      </c>
    </row>
    <row r="331" ht="21.75" customHeight="1" s="314">
      <c r="A331" s="32">
        <f>IF(C331="","",689)</f>
        <v/>
      </c>
      <c r="B331" s="7" t="n">
        <v>46158</v>
      </c>
      <c r="C331" s="14" t="n"/>
      <c r="D331" s="16" t="n"/>
      <c r="E331" s="15" t="inlineStr">
        <is>
          <t>▼</t>
        </is>
      </c>
      <c r="F331" s="15" t="inlineStr">
        <is>
          <t>▼</t>
        </is>
      </c>
      <c r="G331" s="16" t="n"/>
      <c r="H331" s="15" t="inlineStr">
        <is>
          <t>▼</t>
        </is>
      </c>
      <c r="I331" s="17">
        <f>IF(C331="","",D331+IF(F331="Ambil Obat",IF(G331="",0,G331),0))</f>
        <v/>
      </c>
      <c r="J331" s="12">
        <f>$J$317</f>
        <v/>
      </c>
      <c r="K331" s="18" t="inlineStr">
        <is>
          <t>▼</t>
        </is>
      </c>
    </row>
    <row r="332" ht="21.75" customHeight="1" s="314">
      <c r="A332" s="6">
        <f>IF(C332="","",690)</f>
        <v/>
      </c>
      <c r="B332" s="7" t="n">
        <v>46158</v>
      </c>
      <c r="C332" s="8" t="n"/>
      <c r="D332" s="9" t="n"/>
      <c r="E332" s="10" t="inlineStr">
        <is>
          <t>▼</t>
        </is>
      </c>
      <c r="F332" s="10" t="inlineStr">
        <is>
          <t>▼</t>
        </is>
      </c>
      <c r="G332" s="9" t="n"/>
      <c r="H332" s="10" t="inlineStr">
        <is>
          <t>▼</t>
        </is>
      </c>
      <c r="I332" s="11">
        <f>IF(C332="","",D332+IF(F332="Ambil Obat",IF(G332="",0,G332),0))</f>
        <v/>
      </c>
      <c r="J332" s="12">
        <f>$J$317</f>
        <v/>
      </c>
      <c r="K332" s="13" t="inlineStr">
        <is>
          <t>▼</t>
        </is>
      </c>
    </row>
    <row r="333" ht="24" customHeight="1" s="314">
      <c r="A333" s="248">
        <f>IF(COUNTA(C318:C332)=0,"— belum ada data —","📊 Sub-total  "&amp; TEXT(B318,"DD MMM YYYY") &amp;"  ("&amp;COUNTA(C318:C332)&amp;" pasien)")</f>
        <v/>
      </c>
      <c r="B333" s="316" t="n"/>
      <c r="C333" s="316" t="n"/>
      <c r="D333" s="19">
        <f>IF(COUNTA(C318:C332)=0,"",SUM(D318:D332))</f>
        <v/>
      </c>
      <c r="E333" s="20">
        <f>IF(COUNTA(C318:C332)=0,"",SUMIF(E318:E332,"Cash",D318:D332))</f>
        <v/>
      </c>
      <c r="F333" s="21">
        <f>IF(COUNTA(C318:C332)=0,"",SUMIF(E318:E332,"Transfer Bank",D318:D332))</f>
        <v/>
      </c>
      <c r="G333" s="19">
        <f>IF(COUNTA(C318:C332)=0,"",SUMIF(F318:F332,"Ambil Obat",G318:G332))</f>
        <v/>
      </c>
      <c r="H333" s="20">
        <f>IF(COUNTA(C318:C332)=0,"",SUMIFS(G318:G332,H318:H332,"Cash",F318:F332,"Ambil Obat"))</f>
        <v/>
      </c>
      <c r="I333" s="21">
        <f>IF(COUNTA(C318:C332)=0,"",SUMIFS(G318:G332,H318:H332,"Transfer Bank",F318:F332,"Ambil Obat"))</f>
        <v/>
      </c>
      <c r="J333" s="22" t="n"/>
      <c r="K333" s="23">
        <f>IF(COUNTA(C318:C332)=0,"",D333+G333)</f>
        <v/>
      </c>
    </row>
    <row r="334" ht="24" customHeight="1" s="314">
      <c r="A334" s="249" t="inlineStr">
        <is>
          <t>📅  Minggu, 17 Mei 2026</t>
        </is>
      </c>
      <c r="B334" s="5" t="n"/>
      <c r="C334" s="5" t="n"/>
      <c r="D334" s="5" t="n"/>
      <c r="E334" s="5" t="n"/>
      <c r="F334" s="5" t="n"/>
      <c r="G334" s="5" t="n"/>
      <c r="H334" s="5" t="n"/>
      <c r="I334" s="5" t="n"/>
      <c r="J334" s="4" t="inlineStr">
        <is>
          <t>dr. HAWA</t>
        </is>
      </c>
      <c r="K334" s="5" t="n"/>
    </row>
    <row r="335" ht="21.75" customHeight="1" s="314">
      <c r="A335" s="6">
        <f>IF(C335="","",691)</f>
        <v/>
      </c>
      <c r="B335" s="7" t="n">
        <v>46159</v>
      </c>
      <c r="C335" s="8" t="n"/>
      <c r="D335" s="9" t="n"/>
      <c r="E335" s="10" t="inlineStr">
        <is>
          <t>▼</t>
        </is>
      </c>
      <c r="F335" s="10" t="inlineStr">
        <is>
          <t>▼</t>
        </is>
      </c>
      <c r="G335" s="9" t="n"/>
      <c r="H335" s="10" t="inlineStr">
        <is>
          <t>▼</t>
        </is>
      </c>
      <c r="I335" s="11">
        <f>IF(C335="","",D335+IF(F335="Ambil Obat",IF(G335="",0,G335),0))</f>
        <v/>
      </c>
      <c r="J335" s="12">
        <f>$J$334</f>
        <v/>
      </c>
      <c r="K335" s="13" t="inlineStr">
        <is>
          <t>▼</t>
        </is>
      </c>
    </row>
    <row r="336" ht="21.75" customHeight="1" s="314">
      <c r="A336" s="32">
        <f>IF(C336="","",692)</f>
        <v/>
      </c>
      <c r="B336" s="7" t="n">
        <v>46159</v>
      </c>
      <c r="C336" s="14" t="n"/>
      <c r="D336" s="16" t="n"/>
      <c r="E336" s="15" t="inlineStr">
        <is>
          <t>▼</t>
        </is>
      </c>
      <c r="F336" s="15" t="inlineStr">
        <is>
          <t>▼</t>
        </is>
      </c>
      <c r="G336" s="16" t="n"/>
      <c r="H336" s="15" t="inlineStr">
        <is>
          <t>▼</t>
        </is>
      </c>
      <c r="I336" s="17">
        <f>IF(C336="","",D336+IF(F336="Ambil Obat",IF(G336="",0,G336),0))</f>
        <v/>
      </c>
      <c r="J336" s="12">
        <f>$J$334</f>
        <v/>
      </c>
      <c r="K336" s="18" t="inlineStr">
        <is>
          <t>▼</t>
        </is>
      </c>
    </row>
    <row r="337" ht="21.75" customHeight="1" s="314">
      <c r="A337" s="6">
        <f>IF(C337="","",693)</f>
        <v/>
      </c>
      <c r="B337" s="7" t="n">
        <v>46159</v>
      </c>
      <c r="C337" s="8" t="n"/>
      <c r="D337" s="9" t="n"/>
      <c r="E337" s="10" t="inlineStr">
        <is>
          <t>▼</t>
        </is>
      </c>
      <c r="F337" s="10" t="inlineStr">
        <is>
          <t>▼</t>
        </is>
      </c>
      <c r="G337" s="9" t="n"/>
      <c r="H337" s="10" t="inlineStr">
        <is>
          <t>▼</t>
        </is>
      </c>
      <c r="I337" s="11">
        <f>IF(C337="","",D337+IF(F337="Ambil Obat",IF(G337="",0,G337),0))</f>
        <v/>
      </c>
      <c r="J337" s="12">
        <f>$J$334</f>
        <v/>
      </c>
      <c r="K337" s="13" t="inlineStr">
        <is>
          <t>▼</t>
        </is>
      </c>
    </row>
    <row r="338" ht="21.75" customHeight="1" s="314">
      <c r="A338" s="32">
        <f>IF(C338="","",694)</f>
        <v/>
      </c>
      <c r="B338" s="7" t="n">
        <v>46159</v>
      </c>
      <c r="C338" s="14" t="n"/>
      <c r="D338" s="16" t="n"/>
      <c r="E338" s="15" t="inlineStr">
        <is>
          <t>▼</t>
        </is>
      </c>
      <c r="F338" s="15" t="inlineStr">
        <is>
          <t>▼</t>
        </is>
      </c>
      <c r="G338" s="16" t="n"/>
      <c r="H338" s="15" t="inlineStr">
        <is>
          <t>▼</t>
        </is>
      </c>
      <c r="I338" s="17">
        <f>IF(C338="","",D338+IF(F338="Ambil Obat",IF(G338="",0,G338),0))</f>
        <v/>
      </c>
      <c r="J338" s="12">
        <f>$J$334</f>
        <v/>
      </c>
      <c r="K338" s="18" t="inlineStr">
        <is>
          <t>▼</t>
        </is>
      </c>
    </row>
    <row r="339" ht="21.75" customHeight="1" s="314">
      <c r="A339" s="6">
        <f>IF(C339="","",695)</f>
        <v/>
      </c>
      <c r="B339" s="7" t="n">
        <v>46159</v>
      </c>
      <c r="C339" s="8" t="n"/>
      <c r="D339" s="9" t="n"/>
      <c r="E339" s="10" t="inlineStr">
        <is>
          <t>▼</t>
        </is>
      </c>
      <c r="F339" s="10" t="inlineStr">
        <is>
          <t>▼</t>
        </is>
      </c>
      <c r="G339" s="9" t="n"/>
      <c r="H339" s="10" t="inlineStr">
        <is>
          <t>▼</t>
        </is>
      </c>
      <c r="I339" s="11">
        <f>IF(C339="","",D339+IF(F339="Ambil Obat",IF(G339="",0,G339),0))</f>
        <v/>
      </c>
      <c r="J339" s="12">
        <f>$J$334</f>
        <v/>
      </c>
      <c r="K339" s="13" t="inlineStr">
        <is>
          <t>▼</t>
        </is>
      </c>
    </row>
    <row r="340" ht="21.75" customHeight="1" s="314">
      <c r="A340" s="32">
        <f>IF(C340="","",696)</f>
        <v/>
      </c>
      <c r="B340" s="7" t="n">
        <v>46159</v>
      </c>
      <c r="C340" s="14" t="n"/>
      <c r="D340" s="16" t="n"/>
      <c r="E340" s="15" t="inlineStr">
        <is>
          <t>▼</t>
        </is>
      </c>
      <c r="F340" s="15" t="inlineStr">
        <is>
          <t>▼</t>
        </is>
      </c>
      <c r="G340" s="16" t="n"/>
      <c r="H340" s="15" t="inlineStr">
        <is>
          <t>▼</t>
        </is>
      </c>
      <c r="I340" s="17">
        <f>IF(C340="","",D340+IF(F340="Ambil Obat",IF(G340="",0,G340),0))</f>
        <v/>
      </c>
      <c r="J340" s="12">
        <f>$J$334</f>
        <v/>
      </c>
      <c r="K340" s="18" t="inlineStr">
        <is>
          <t>▼</t>
        </is>
      </c>
    </row>
    <row r="341" ht="21.75" customHeight="1" s="314">
      <c r="A341" s="6">
        <f>IF(C341="","",697)</f>
        <v/>
      </c>
      <c r="B341" s="7" t="n">
        <v>46159</v>
      </c>
      <c r="C341" s="8" t="n"/>
      <c r="D341" s="9" t="n"/>
      <c r="E341" s="10" t="inlineStr">
        <is>
          <t>▼</t>
        </is>
      </c>
      <c r="F341" s="10" t="inlineStr">
        <is>
          <t>▼</t>
        </is>
      </c>
      <c r="G341" s="9" t="n"/>
      <c r="H341" s="10" t="inlineStr">
        <is>
          <t>▼</t>
        </is>
      </c>
      <c r="I341" s="11">
        <f>IF(C341="","",D341+IF(F341="Ambil Obat",IF(G341="",0,G341),0))</f>
        <v/>
      </c>
      <c r="J341" s="12">
        <f>$J$334</f>
        <v/>
      </c>
      <c r="K341" s="13" t="inlineStr">
        <is>
          <t>▼</t>
        </is>
      </c>
    </row>
    <row r="342" ht="21.75" customHeight="1" s="314">
      <c r="A342" s="32">
        <f>IF(C342="","",698)</f>
        <v/>
      </c>
      <c r="B342" s="7" t="n">
        <v>46159</v>
      </c>
      <c r="C342" s="14" t="n"/>
      <c r="D342" s="16" t="n"/>
      <c r="E342" s="15" t="inlineStr">
        <is>
          <t>▼</t>
        </is>
      </c>
      <c r="F342" s="15" t="inlineStr">
        <is>
          <t>▼</t>
        </is>
      </c>
      <c r="G342" s="16" t="n"/>
      <c r="H342" s="15" t="inlineStr">
        <is>
          <t>▼</t>
        </is>
      </c>
      <c r="I342" s="17">
        <f>IF(C342="","",D342+IF(F342="Ambil Obat",IF(G342="",0,G342),0))</f>
        <v/>
      </c>
      <c r="J342" s="12">
        <f>$J$334</f>
        <v/>
      </c>
      <c r="K342" s="18" t="inlineStr">
        <is>
          <t>▼</t>
        </is>
      </c>
    </row>
    <row r="343" ht="21.75" customHeight="1" s="314">
      <c r="A343" s="6">
        <f>IF(C343="","",699)</f>
        <v/>
      </c>
      <c r="B343" s="7" t="n">
        <v>46159</v>
      </c>
      <c r="C343" s="8" t="n"/>
      <c r="D343" s="9" t="n"/>
      <c r="E343" s="10" t="inlineStr">
        <is>
          <t>▼</t>
        </is>
      </c>
      <c r="F343" s="10" t="inlineStr">
        <is>
          <t>▼</t>
        </is>
      </c>
      <c r="G343" s="9" t="n"/>
      <c r="H343" s="10" t="inlineStr">
        <is>
          <t>▼</t>
        </is>
      </c>
      <c r="I343" s="11">
        <f>IF(C343="","",D343+IF(F343="Ambil Obat",IF(G343="",0,G343),0))</f>
        <v/>
      </c>
      <c r="J343" s="12">
        <f>$J$334</f>
        <v/>
      </c>
      <c r="K343" s="13" t="inlineStr">
        <is>
          <t>▼</t>
        </is>
      </c>
    </row>
    <row r="344" ht="21.75" customHeight="1" s="314">
      <c r="A344" s="32">
        <f>IF(C344="","",700)</f>
        <v/>
      </c>
      <c r="B344" s="7" t="n">
        <v>46159</v>
      </c>
      <c r="C344" s="14" t="n"/>
      <c r="D344" s="16" t="n"/>
      <c r="E344" s="15" t="inlineStr">
        <is>
          <t>▼</t>
        </is>
      </c>
      <c r="F344" s="15" t="inlineStr">
        <is>
          <t>▼</t>
        </is>
      </c>
      <c r="G344" s="16" t="n"/>
      <c r="H344" s="15" t="inlineStr">
        <is>
          <t>▼</t>
        </is>
      </c>
      <c r="I344" s="17">
        <f>IF(C344="","",D344+IF(F344="Ambil Obat",IF(G344="",0,G344),0))</f>
        <v/>
      </c>
      <c r="J344" s="12">
        <f>$J$334</f>
        <v/>
      </c>
      <c r="K344" s="18" t="inlineStr">
        <is>
          <t>▼</t>
        </is>
      </c>
    </row>
    <row r="345" ht="21.75" customHeight="1" s="314">
      <c r="A345" s="6">
        <f>IF(C345="","",701)</f>
        <v/>
      </c>
      <c r="B345" s="7" t="n">
        <v>46159</v>
      </c>
      <c r="C345" s="8" t="n"/>
      <c r="D345" s="9" t="n"/>
      <c r="E345" s="10" t="inlineStr">
        <is>
          <t>▼</t>
        </is>
      </c>
      <c r="F345" s="10" t="inlineStr">
        <is>
          <t>▼</t>
        </is>
      </c>
      <c r="G345" s="9" t="n"/>
      <c r="H345" s="10" t="inlineStr">
        <is>
          <t>▼</t>
        </is>
      </c>
      <c r="I345" s="11">
        <f>IF(C345="","",D345+IF(F345="Ambil Obat",IF(G345="",0,G345),0))</f>
        <v/>
      </c>
      <c r="J345" s="12">
        <f>$J$334</f>
        <v/>
      </c>
      <c r="K345" s="13" t="inlineStr">
        <is>
          <t>▼</t>
        </is>
      </c>
    </row>
    <row r="346" ht="21.75" customHeight="1" s="314">
      <c r="A346" s="32">
        <f>IF(C346="","",702)</f>
        <v/>
      </c>
      <c r="B346" s="7" t="n">
        <v>46159</v>
      </c>
      <c r="C346" s="14" t="n"/>
      <c r="D346" s="16" t="n"/>
      <c r="E346" s="15" t="inlineStr">
        <is>
          <t>▼</t>
        </is>
      </c>
      <c r="F346" s="15" t="inlineStr">
        <is>
          <t>▼</t>
        </is>
      </c>
      <c r="G346" s="16" t="n"/>
      <c r="H346" s="15" t="inlineStr">
        <is>
          <t>▼</t>
        </is>
      </c>
      <c r="I346" s="17">
        <f>IF(C346="","",D346+IF(F346="Ambil Obat",IF(G346="",0,G346),0))</f>
        <v/>
      </c>
      <c r="J346" s="12">
        <f>$J$334</f>
        <v/>
      </c>
      <c r="K346" s="18" t="inlineStr">
        <is>
          <t>▼</t>
        </is>
      </c>
    </row>
    <row r="347" ht="21.75" customHeight="1" s="314">
      <c r="A347" s="6">
        <f>IF(C347="","",703)</f>
        <v/>
      </c>
      <c r="B347" s="7" t="n">
        <v>46159</v>
      </c>
      <c r="C347" s="8" t="n"/>
      <c r="D347" s="9" t="n"/>
      <c r="E347" s="10" t="inlineStr">
        <is>
          <t>▼</t>
        </is>
      </c>
      <c r="F347" s="10" t="inlineStr">
        <is>
          <t>▼</t>
        </is>
      </c>
      <c r="G347" s="9" t="n"/>
      <c r="H347" s="10" t="inlineStr">
        <is>
          <t>▼</t>
        </is>
      </c>
      <c r="I347" s="11">
        <f>IF(C347="","",D347+IF(F347="Ambil Obat",IF(G347="",0,G347),0))</f>
        <v/>
      </c>
      <c r="J347" s="12">
        <f>$J$334</f>
        <v/>
      </c>
      <c r="K347" s="13" t="inlineStr">
        <is>
          <t>▼</t>
        </is>
      </c>
    </row>
    <row r="348" ht="21.75" customHeight="1" s="314">
      <c r="A348" s="32">
        <f>IF(C348="","",704)</f>
        <v/>
      </c>
      <c r="B348" s="7" t="n">
        <v>46159</v>
      </c>
      <c r="C348" s="14" t="n"/>
      <c r="D348" s="16" t="n"/>
      <c r="E348" s="15" t="inlineStr">
        <is>
          <t>▼</t>
        </is>
      </c>
      <c r="F348" s="15" t="inlineStr">
        <is>
          <t>▼</t>
        </is>
      </c>
      <c r="G348" s="16" t="n"/>
      <c r="H348" s="15" t="inlineStr">
        <is>
          <t>▼</t>
        </is>
      </c>
      <c r="I348" s="17">
        <f>IF(C348="","",D348+IF(F348="Ambil Obat",IF(G348="",0,G348),0))</f>
        <v/>
      </c>
      <c r="J348" s="12">
        <f>$J$334</f>
        <v/>
      </c>
      <c r="K348" s="18" t="inlineStr">
        <is>
          <t>▼</t>
        </is>
      </c>
    </row>
    <row r="349" ht="21.75" customHeight="1" s="314">
      <c r="A349" s="6">
        <f>IF(C349="","",705)</f>
        <v/>
      </c>
      <c r="B349" s="7" t="n">
        <v>46159</v>
      </c>
      <c r="C349" s="8" t="n"/>
      <c r="D349" s="9" t="n"/>
      <c r="E349" s="10" t="inlineStr">
        <is>
          <t>▼</t>
        </is>
      </c>
      <c r="F349" s="10" t="inlineStr">
        <is>
          <t>▼</t>
        </is>
      </c>
      <c r="G349" s="9" t="n"/>
      <c r="H349" s="10" t="inlineStr">
        <is>
          <t>▼</t>
        </is>
      </c>
      <c r="I349" s="11">
        <f>IF(C349="","",D349+IF(F349="Ambil Obat",IF(G349="",0,G349),0))</f>
        <v/>
      </c>
      <c r="J349" s="12">
        <f>$J$334</f>
        <v/>
      </c>
      <c r="K349" s="13" t="inlineStr">
        <is>
          <t>▼</t>
        </is>
      </c>
    </row>
    <row r="350" ht="24" customHeight="1" s="314">
      <c r="A350" s="248">
        <f>IF(COUNTA(C335:C349)=0,"— belum ada data —","📊 Sub-total  "&amp; TEXT(B335,"DD MMM YYYY") &amp;"  ("&amp;COUNTA(C335:C349)&amp;" pasien)")</f>
        <v/>
      </c>
      <c r="B350" s="316" t="n"/>
      <c r="C350" s="316" t="n"/>
      <c r="D350" s="19">
        <f>IF(COUNTA(C335:C349)=0,"",SUM(D335:D349))</f>
        <v/>
      </c>
      <c r="E350" s="20">
        <f>IF(COUNTA(C335:C349)=0,"",SUMIF(E335:E349,"Cash",D335:D349))</f>
        <v/>
      </c>
      <c r="F350" s="21">
        <f>IF(COUNTA(C335:C349)=0,"",SUMIF(E335:E349,"Transfer Bank",D335:D349))</f>
        <v/>
      </c>
      <c r="G350" s="19">
        <f>IF(COUNTA(C335:C349)=0,"",SUMIF(F335:F349,"Ambil Obat",G335:G349))</f>
        <v/>
      </c>
      <c r="H350" s="20">
        <f>IF(COUNTA(C335:C349)=0,"",SUMIFS(G335:G349,H335:H349,"Cash",F335:F349,"Ambil Obat"))</f>
        <v/>
      </c>
      <c r="I350" s="21">
        <f>IF(COUNTA(C335:C349)=0,"",SUMIFS(G335:G349,H335:H349,"Transfer Bank",F335:F349,"Ambil Obat"))</f>
        <v/>
      </c>
      <c r="J350" s="22" t="n"/>
      <c r="K350" s="23">
        <f>IF(COUNTA(C335:C349)=0,"",D350+G350)</f>
        <v/>
      </c>
    </row>
    <row r="351" ht="24" customHeight="1" s="314">
      <c r="A351" s="249" t="inlineStr">
        <is>
          <t>📅  Senin, 18 Mei 2026</t>
        </is>
      </c>
      <c r="B351" s="5" t="n"/>
      <c r="C351" s="5" t="n"/>
      <c r="D351" s="5" t="n"/>
      <c r="E351" s="5" t="n"/>
      <c r="F351" s="5" t="n"/>
      <c r="G351" s="5" t="n"/>
      <c r="H351" s="5" t="n"/>
      <c r="I351" s="5" t="n"/>
      <c r="J351" s="4" t="inlineStr">
        <is>
          <t>dr. JOJO</t>
        </is>
      </c>
      <c r="K351" s="5" t="n"/>
    </row>
    <row r="352" ht="21.75" customHeight="1" s="314">
      <c r="A352" s="6">
        <f>IF(C352="","",706)</f>
        <v/>
      </c>
      <c r="B352" s="7" t="n">
        <v>46160</v>
      </c>
      <c r="C352" s="8" t="n"/>
      <c r="D352" s="9" t="n"/>
      <c r="E352" s="10" t="inlineStr">
        <is>
          <t>▼</t>
        </is>
      </c>
      <c r="F352" s="10" t="inlineStr">
        <is>
          <t>▼</t>
        </is>
      </c>
      <c r="G352" s="9" t="n"/>
      <c r="H352" s="10" t="inlineStr">
        <is>
          <t>▼</t>
        </is>
      </c>
      <c r="I352" s="11">
        <f>IF(C352="","",D352+IF(F352="Ambil Obat",IF(G352="",0,G352),0))</f>
        <v/>
      </c>
      <c r="J352" s="12">
        <f>$J$351</f>
        <v/>
      </c>
      <c r="K352" s="13" t="inlineStr">
        <is>
          <t>▼</t>
        </is>
      </c>
    </row>
    <row r="353" ht="21.75" customHeight="1" s="314">
      <c r="A353" s="32">
        <f>IF(C353="","",707)</f>
        <v/>
      </c>
      <c r="B353" s="7" t="n">
        <v>46160</v>
      </c>
      <c r="C353" s="14" t="n"/>
      <c r="D353" s="16" t="n"/>
      <c r="E353" s="15" t="inlineStr">
        <is>
          <t>▼</t>
        </is>
      </c>
      <c r="F353" s="15" t="inlineStr">
        <is>
          <t>▼</t>
        </is>
      </c>
      <c r="G353" s="16" t="n"/>
      <c r="H353" s="15" t="inlineStr">
        <is>
          <t>▼</t>
        </is>
      </c>
      <c r="I353" s="17">
        <f>IF(C353="","",D353+IF(F353="Ambil Obat",IF(G353="",0,G353),0))</f>
        <v/>
      </c>
      <c r="J353" s="12">
        <f>$J$351</f>
        <v/>
      </c>
      <c r="K353" s="18" t="inlineStr">
        <is>
          <t>▼</t>
        </is>
      </c>
    </row>
    <row r="354" ht="21.75" customHeight="1" s="314">
      <c r="A354" s="6">
        <f>IF(C354="","",708)</f>
        <v/>
      </c>
      <c r="B354" s="7" t="n">
        <v>46160</v>
      </c>
      <c r="C354" s="8" t="n"/>
      <c r="D354" s="9" t="n"/>
      <c r="E354" s="10" t="inlineStr">
        <is>
          <t>▼</t>
        </is>
      </c>
      <c r="F354" s="10" t="inlineStr">
        <is>
          <t>▼</t>
        </is>
      </c>
      <c r="G354" s="9" t="n"/>
      <c r="H354" s="10" t="inlineStr">
        <is>
          <t>▼</t>
        </is>
      </c>
      <c r="I354" s="11">
        <f>IF(C354="","",D354+IF(F354="Ambil Obat",IF(G354="",0,G354),0))</f>
        <v/>
      </c>
      <c r="J354" s="12">
        <f>$J$351</f>
        <v/>
      </c>
      <c r="K354" s="13" t="inlineStr">
        <is>
          <t>▼</t>
        </is>
      </c>
    </row>
    <row r="355" ht="21.75" customHeight="1" s="314">
      <c r="A355" s="32">
        <f>IF(C355="","",709)</f>
        <v/>
      </c>
      <c r="B355" s="7" t="n">
        <v>46160</v>
      </c>
      <c r="C355" s="14" t="n"/>
      <c r="D355" s="16" t="n"/>
      <c r="E355" s="15" t="inlineStr">
        <is>
          <t>▼</t>
        </is>
      </c>
      <c r="F355" s="15" t="inlineStr">
        <is>
          <t>▼</t>
        </is>
      </c>
      <c r="G355" s="16" t="n"/>
      <c r="H355" s="15" t="inlineStr">
        <is>
          <t>▼</t>
        </is>
      </c>
      <c r="I355" s="17">
        <f>IF(C355="","",D355+IF(F355="Ambil Obat",IF(G355="",0,G355),0))</f>
        <v/>
      </c>
      <c r="J355" s="12">
        <f>$J$351</f>
        <v/>
      </c>
      <c r="K355" s="18" t="inlineStr">
        <is>
          <t>▼</t>
        </is>
      </c>
    </row>
    <row r="356" ht="21.75" customHeight="1" s="314">
      <c r="A356" s="6">
        <f>IF(C356="","",710)</f>
        <v/>
      </c>
      <c r="B356" s="7" t="n">
        <v>46160</v>
      </c>
      <c r="C356" s="8" t="n"/>
      <c r="D356" s="9" t="n"/>
      <c r="E356" s="10" t="inlineStr">
        <is>
          <t>▼</t>
        </is>
      </c>
      <c r="F356" s="10" t="inlineStr">
        <is>
          <t>▼</t>
        </is>
      </c>
      <c r="G356" s="9" t="n"/>
      <c r="H356" s="10" t="inlineStr">
        <is>
          <t>▼</t>
        </is>
      </c>
      <c r="I356" s="11">
        <f>IF(C356="","",D356+IF(F356="Ambil Obat",IF(G356="",0,G356),0))</f>
        <v/>
      </c>
      <c r="J356" s="12">
        <f>$J$351</f>
        <v/>
      </c>
      <c r="K356" s="13" t="inlineStr">
        <is>
          <t>▼</t>
        </is>
      </c>
    </row>
    <row r="357" ht="21.75" customHeight="1" s="314">
      <c r="A357" s="32">
        <f>IF(C357="","",711)</f>
        <v/>
      </c>
      <c r="B357" s="7" t="n">
        <v>46160</v>
      </c>
      <c r="C357" s="14" t="n"/>
      <c r="D357" s="16" t="n"/>
      <c r="E357" s="15" t="inlineStr">
        <is>
          <t>▼</t>
        </is>
      </c>
      <c r="F357" s="15" t="inlineStr">
        <is>
          <t>▼</t>
        </is>
      </c>
      <c r="G357" s="16" t="n"/>
      <c r="H357" s="15" t="inlineStr">
        <is>
          <t>▼</t>
        </is>
      </c>
      <c r="I357" s="17">
        <f>IF(C357="","",D357+IF(F357="Ambil Obat",IF(G357="",0,G357),0))</f>
        <v/>
      </c>
      <c r="J357" s="12">
        <f>$J$351</f>
        <v/>
      </c>
      <c r="K357" s="18" t="inlineStr">
        <is>
          <t>▼</t>
        </is>
      </c>
    </row>
    <row r="358" ht="21.75" customHeight="1" s="314">
      <c r="A358" s="6">
        <f>IF(C358="","",712)</f>
        <v/>
      </c>
      <c r="B358" s="7" t="n">
        <v>46160</v>
      </c>
      <c r="C358" s="8" t="n"/>
      <c r="D358" s="9" t="n"/>
      <c r="E358" s="10" t="inlineStr">
        <is>
          <t>▼</t>
        </is>
      </c>
      <c r="F358" s="10" t="inlineStr">
        <is>
          <t>▼</t>
        </is>
      </c>
      <c r="G358" s="9" t="n"/>
      <c r="H358" s="10" t="inlineStr">
        <is>
          <t>▼</t>
        </is>
      </c>
      <c r="I358" s="11">
        <f>IF(C358="","",D358+IF(F358="Ambil Obat",IF(G358="",0,G358),0))</f>
        <v/>
      </c>
      <c r="J358" s="12">
        <f>$J$351</f>
        <v/>
      </c>
      <c r="K358" s="13" t="inlineStr">
        <is>
          <t>▼</t>
        </is>
      </c>
    </row>
    <row r="359" ht="21.75" customHeight="1" s="314">
      <c r="A359" s="32">
        <f>IF(C359="","",713)</f>
        <v/>
      </c>
      <c r="B359" s="7" t="n">
        <v>46160</v>
      </c>
      <c r="C359" s="14" t="n"/>
      <c r="D359" s="16" t="n"/>
      <c r="E359" s="15" t="inlineStr">
        <is>
          <t>▼</t>
        </is>
      </c>
      <c r="F359" s="15" t="inlineStr">
        <is>
          <t>▼</t>
        </is>
      </c>
      <c r="G359" s="16" t="n"/>
      <c r="H359" s="15" t="inlineStr">
        <is>
          <t>▼</t>
        </is>
      </c>
      <c r="I359" s="17">
        <f>IF(C359="","",D359+IF(F359="Ambil Obat",IF(G359="",0,G359),0))</f>
        <v/>
      </c>
      <c r="J359" s="12">
        <f>$J$351</f>
        <v/>
      </c>
      <c r="K359" s="18" t="inlineStr">
        <is>
          <t>▼</t>
        </is>
      </c>
    </row>
    <row r="360" ht="21.75" customHeight="1" s="314">
      <c r="A360" s="6">
        <f>IF(C360="","",714)</f>
        <v/>
      </c>
      <c r="B360" s="7" t="n">
        <v>46160</v>
      </c>
      <c r="C360" s="8" t="n"/>
      <c r="D360" s="9" t="n"/>
      <c r="E360" s="10" t="inlineStr">
        <is>
          <t>▼</t>
        </is>
      </c>
      <c r="F360" s="10" t="inlineStr">
        <is>
          <t>▼</t>
        </is>
      </c>
      <c r="G360" s="9" t="n"/>
      <c r="H360" s="10" t="inlineStr">
        <is>
          <t>▼</t>
        </is>
      </c>
      <c r="I360" s="11">
        <f>IF(C360="","",D360+IF(F360="Ambil Obat",IF(G360="",0,G360),0))</f>
        <v/>
      </c>
      <c r="J360" s="12">
        <f>$J$351</f>
        <v/>
      </c>
      <c r="K360" s="13" t="inlineStr">
        <is>
          <t>▼</t>
        </is>
      </c>
    </row>
    <row r="361" ht="21.75" customHeight="1" s="314">
      <c r="A361" s="32">
        <f>IF(C361="","",715)</f>
        <v/>
      </c>
      <c r="B361" s="7" t="n">
        <v>46160</v>
      </c>
      <c r="C361" s="14" t="n"/>
      <c r="D361" s="16" t="n"/>
      <c r="E361" s="15" t="inlineStr">
        <is>
          <t>▼</t>
        </is>
      </c>
      <c r="F361" s="15" t="inlineStr">
        <is>
          <t>▼</t>
        </is>
      </c>
      <c r="G361" s="16" t="n"/>
      <c r="H361" s="15" t="inlineStr">
        <is>
          <t>▼</t>
        </is>
      </c>
      <c r="I361" s="17">
        <f>IF(C361="","",D361+IF(F361="Ambil Obat",IF(G361="",0,G361),0))</f>
        <v/>
      </c>
      <c r="J361" s="12">
        <f>$J$351</f>
        <v/>
      </c>
      <c r="K361" s="18" t="inlineStr">
        <is>
          <t>▼</t>
        </is>
      </c>
    </row>
    <row r="362" ht="21.75" customHeight="1" s="314">
      <c r="A362" s="6">
        <f>IF(C362="","",716)</f>
        <v/>
      </c>
      <c r="B362" s="7" t="n">
        <v>46160</v>
      </c>
      <c r="C362" s="8" t="n"/>
      <c r="D362" s="9" t="n"/>
      <c r="E362" s="10" t="inlineStr">
        <is>
          <t>▼</t>
        </is>
      </c>
      <c r="F362" s="10" t="inlineStr">
        <is>
          <t>▼</t>
        </is>
      </c>
      <c r="G362" s="9" t="n"/>
      <c r="H362" s="10" t="inlineStr">
        <is>
          <t>▼</t>
        </is>
      </c>
      <c r="I362" s="11">
        <f>IF(C362="","",D362+IF(F362="Ambil Obat",IF(G362="",0,G362),0))</f>
        <v/>
      </c>
      <c r="J362" s="12">
        <f>$J$351</f>
        <v/>
      </c>
      <c r="K362" s="13" t="inlineStr">
        <is>
          <t>▼</t>
        </is>
      </c>
    </row>
    <row r="363" ht="21.75" customHeight="1" s="314">
      <c r="A363" s="32">
        <f>IF(C363="","",717)</f>
        <v/>
      </c>
      <c r="B363" s="7" t="n">
        <v>46160</v>
      </c>
      <c r="C363" s="14" t="n"/>
      <c r="D363" s="16" t="n"/>
      <c r="E363" s="15" t="inlineStr">
        <is>
          <t>▼</t>
        </is>
      </c>
      <c r="F363" s="15" t="inlineStr">
        <is>
          <t>▼</t>
        </is>
      </c>
      <c r="G363" s="16" t="n"/>
      <c r="H363" s="15" t="inlineStr">
        <is>
          <t>▼</t>
        </is>
      </c>
      <c r="I363" s="17">
        <f>IF(C363="","",D363+IF(F363="Ambil Obat",IF(G363="",0,G363),0))</f>
        <v/>
      </c>
      <c r="J363" s="12">
        <f>$J$351</f>
        <v/>
      </c>
      <c r="K363" s="18" t="inlineStr">
        <is>
          <t>▼</t>
        </is>
      </c>
    </row>
    <row r="364" ht="21.75" customHeight="1" s="314">
      <c r="A364" s="6">
        <f>IF(C364="","",718)</f>
        <v/>
      </c>
      <c r="B364" s="7" t="n">
        <v>46160</v>
      </c>
      <c r="C364" s="8" t="n"/>
      <c r="D364" s="9" t="n"/>
      <c r="E364" s="10" t="inlineStr">
        <is>
          <t>▼</t>
        </is>
      </c>
      <c r="F364" s="10" t="inlineStr">
        <is>
          <t>▼</t>
        </is>
      </c>
      <c r="G364" s="9" t="n"/>
      <c r="H364" s="10" t="inlineStr">
        <is>
          <t>▼</t>
        </is>
      </c>
      <c r="I364" s="11">
        <f>IF(C364="","",D364+IF(F364="Ambil Obat",IF(G364="",0,G364),0))</f>
        <v/>
      </c>
      <c r="J364" s="12">
        <f>$J$351</f>
        <v/>
      </c>
      <c r="K364" s="13" t="inlineStr">
        <is>
          <t>▼</t>
        </is>
      </c>
    </row>
    <row r="365" ht="21.75" customHeight="1" s="314">
      <c r="A365" s="32">
        <f>IF(C365="","",719)</f>
        <v/>
      </c>
      <c r="B365" s="7" t="n">
        <v>46160</v>
      </c>
      <c r="C365" s="14" t="n"/>
      <c r="D365" s="16" t="n"/>
      <c r="E365" s="15" t="inlineStr">
        <is>
          <t>▼</t>
        </is>
      </c>
      <c r="F365" s="15" t="inlineStr">
        <is>
          <t>▼</t>
        </is>
      </c>
      <c r="G365" s="16" t="n"/>
      <c r="H365" s="15" t="inlineStr">
        <is>
          <t>▼</t>
        </is>
      </c>
      <c r="I365" s="17">
        <f>IF(C365="","",D365+IF(F365="Ambil Obat",IF(G365="",0,G365),0))</f>
        <v/>
      </c>
      <c r="J365" s="12">
        <f>$J$351</f>
        <v/>
      </c>
      <c r="K365" s="18" t="inlineStr">
        <is>
          <t>▼</t>
        </is>
      </c>
    </row>
    <row r="366" ht="21.75" customHeight="1" s="314">
      <c r="A366" s="6">
        <f>IF(C366="","",720)</f>
        <v/>
      </c>
      <c r="B366" s="7" t="n">
        <v>46160</v>
      </c>
      <c r="C366" s="8" t="n"/>
      <c r="D366" s="9" t="n"/>
      <c r="E366" s="10" t="inlineStr">
        <is>
          <t>▼</t>
        </is>
      </c>
      <c r="F366" s="10" t="inlineStr">
        <is>
          <t>▼</t>
        </is>
      </c>
      <c r="G366" s="9" t="n"/>
      <c r="H366" s="10" t="inlineStr">
        <is>
          <t>▼</t>
        </is>
      </c>
      <c r="I366" s="11">
        <f>IF(C366="","",D366+IF(F366="Ambil Obat",IF(G366="",0,G366),0))</f>
        <v/>
      </c>
      <c r="J366" s="12">
        <f>$J$351</f>
        <v/>
      </c>
      <c r="K366" s="13" t="inlineStr">
        <is>
          <t>▼</t>
        </is>
      </c>
    </row>
    <row r="367" ht="24" customHeight="1" s="314">
      <c r="A367" s="248">
        <f>IF(COUNTA(C352:C366)=0,"— belum ada data —","📊 Sub-total  "&amp; TEXT(B352,"DD MMM YYYY") &amp;"  ("&amp;COUNTA(C352:C366)&amp;" pasien)")</f>
        <v/>
      </c>
      <c r="B367" s="316" t="n"/>
      <c r="C367" s="316" t="n"/>
      <c r="D367" s="19">
        <f>IF(COUNTA(C352:C366)=0,"",SUM(D352:D366))</f>
        <v/>
      </c>
      <c r="E367" s="20">
        <f>IF(COUNTA(C352:C366)=0,"",SUMIF(E352:E366,"Cash",D352:D366))</f>
        <v/>
      </c>
      <c r="F367" s="21">
        <f>IF(COUNTA(C352:C366)=0,"",SUMIF(E352:E366,"Transfer Bank",D352:D366))</f>
        <v/>
      </c>
      <c r="G367" s="19">
        <f>IF(COUNTA(C352:C366)=0,"",SUMIF(F352:F366,"Ambil Obat",G352:G366))</f>
        <v/>
      </c>
      <c r="H367" s="20">
        <f>IF(COUNTA(C352:C366)=0,"",SUMIFS(G352:G366,H352:H366,"Cash",F352:F366,"Ambil Obat"))</f>
        <v/>
      </c>
      <c r="I367" s="21">
        <f>IF(COUNTA(C352:C366)=0,"",SUMIFS(G352:G366,H352:H366,"Transfer Bank",F352:F366,"Ambil Obat"))</f>
        <v/>
      </c>
      <c r="J367" s="22" t="n"/>
      <c r="K367" s="23">
        <f>IF(COUNTA(C352:C366)=0,"",D367+G367)</f>
        <v/>
      </c>
    </row>
    <row r="368" ht="24" customHeight="1" s="314">
      <c r="A368" s="249" t="inlineStr">
        <is>
          <t>📅  Selasa, 19 Mei 2026</t>
        </is>
      </c>
      <c r="B368" s="5" t="n"/>
      <c r="C368" s="5" t="n"/>
      <c r="D368" s="5" t="n"/>
      <c r="E368" s="5" t="n"/>
      <c r="F368" s="5" t="n"/>
      <c r="G368" s="5" t="n"/>
      <c r="H368" s="5" t="n"/>
      <c r="I368" s="5" t="n"/>
      <c r="J368" s="4" t="inlineStr">
        <is>
          <t>dr. HAWA</t>
        </is>
      </c>
      <c r="K368" s="5" t="n"/>
    </row>
    <row r="369" ht="21.75" customHeight="1" s="314">
      <c r="A369" s="6">
        <f>IF(C369="","",721)</f>
        <v/>
      </c>
      <c r="B369" s="7" t="n">
        <v>46161</v>
      </c>
      <c r="C369" s="8" t="n"/>
      <c r="D369" s="9" t="n"/>
      <c r="E369" s="10" t="inlineStr">
        <is>
          <t>▼</t>
        </is>
      </c>
      <c r="F369" s="10" t="inlineStr">
        <is>
          <t>▼</t>
        </is>
      </c>
      <c r="G369" s="9" t="n"/>
      <c r="H369" s="10" t="inlineStr">
        <is>
          <t>▼</t>
        </is>
      </c>
      <c r="I369" s="11">
        <f>IF(C369="","",D369+IF(F369="Ambil Obat",IF(G369="",0,G369),0))</f>
        <v/>
      </c>
      <c r="J369" s="12">
        <f>$J$368</f>
        <v/>
      </c>
      <c r="K369" s="13" t="inlineStr">
        <is>
          <t>▼</t>
        </is>
      </c>
    </row>
    <row r="370" ht="21.75" customHeight="1" s="314">
      <c r="A370" s="32">
        <f>IF(C370="","",722)</f>
        <v/>
      </c>
      <c r="B370" s="7" t="n">
        <v>46161</v>
      </c>
      <c r="C370" s="14" t="n"/>
      <c r="D370" s="16" t="n"/>
      <c r="E370" s="15" t="inlineStr">
        <is>
          <t>▼</t>
        </is>
      </c>
      <c r="F370" s="15" t="inlineStr">
        <is>
          <t>▼</t>
        </is>
      </c>
      <c r="G370" s="16" t="n"/>
      <c r="H370" s="15" t="inlineStr">
        <is>
          <t>▼</t>
        </is>
      </c>
      <c r="I370" s="17">
        <f>IF(C370="","",D370+IF(F370="Ambil Obat",IF(G370="",0,G370),0))</f>
        <v/>
      </c>
      <c r="J370" s="12">
        <f>$J$368</f>
        <v/>
      </c>
      <c r="K370" s="18" t="inlineStr">
        <is>
          <t>▼</t>
        </is>
      </c>
    </row>
    <row r="371" ht="21.75" customHeight="1" s="314">
      <c r="A371" s="6">
        <f>IF(C371="","",723)</f>
        <v/>
      </c>
      <c r="B371" s="7" t="n">
        <v>46161</v>
      </c>
      <c r="C371" s="8" t="n"/>
      <c r="D371" s="9" t="n"/>
      <c r="E371" s="10" t="inlineStr">
        <is>
          <t>▼</t>
        </is>
      </c>
      <c r="F371" s="10" t="inlineStr">
        <is>
          <t>▼</t>
        </is>
      </c>
      <c r="G371" s="9" t="n"/>
      <c r="H371" s="10" t="inlineStr">
        <is>
          <t>▼</t>
        </is>
      </c>
      <c r="I371" s="11">
        <f>IF(C371="","",D371+IF(F371="Ambil Obat",IF(G371="",0,G371),0))</f>
        <v/>
      </c>
      <c r="J371" s="12">
        <f>$J$368</f>
        <v/>
      </c>
      <c r="K371" s="13" t="inlineStr">
        <is>
          <t>▼</t>
        </is>
      </c>
    </row>
    <row r="372" ht="21.75" customHeight="1" s="314">
      <c r="A372" s="32">
        <f>IF(C372="","",724)</f>
        <v/>
      </c>
      <c r="B372" s="7" t="n">
        <v>46161</v>
      </c>
      <c r="C372" s="14" t="n"/>
      <c r="D372" s="16" t="n"/>
      <c r="E372" s="15" t="inlineStr">
        <is>
          <t>▼</t>
        </is>
      </c>
      <c r="F372" s="15" t="inlineStr">
        <is>
          <t>▼</t>
        </is>
      </c>
      <c r="G372" s="16" t="n"/>
      <c r="H372" s="15" t="inlineStr">
        <is>
          <t>▼</t>
        </is>
      </c>
      <c r="I372" s="17">
        <f>IF(C372="","",D372+IF(F372="Ambil Obat",IF(G372="",0,G372),0))</f>
        <v/>
      </c>
      <c r="J372" s="12">
        <f>$J$368</f>
        <v/>
      </c>
      <c r="K372" s="18" t="inlineStr">
        <is>
          <t>▼</t>
        </is>
      </c>
    </row>
    <row r="373" ht="21.75" customHeight="1" s="314">
      <c r="A373" s="6">
        <f>IF(C373="","",725)</f>
        <v/>
      </c>
      <c r="B373" s="7" t="n">
        <v>46161</v>
      </c>
      <c r="C373" s="8" t="n"/>
      <c r="D373" s="9" t="n"/>
      <c r="E373" s="10" t="inlineStr">
        <is>
          <t>▼</t>
        </is>
      </c>
      <c r="F373" s="10" t="inlineStr">
        <is>
          <t>▼</t>
        </is>
      </c>
      <c r="G373" s="9" t="n"/>
      <c r="H373" s="10" t="inlineStr">
        <is>
          <t>▼</t>
        </is>
      </c>
      <c r="I373" s="11">
        <f>IF(C373="","",D373+IF(F373="Ambil Obat",IF(G373="",0,G373),0))</f>
        <v/>
      </c>
      <c r="J373" s="12">
        <f>$J$368</f>
        <v/>
      </c>
      <c r="K373" s="13" t="inlineStr">
        <is>
          <t>▼</t>
        </is>
      </c>
    </row>
    <row r="374" ht="21.75" customHeight="1" s="314">
      <c r="A374" s="32">
        <f>IF(C374="","",726)</f>
        <v/>
      </c>
      <c r="B374" s="7" t="n">
        <v>46161</v>
      </c>
      <c r="C374" s="14" t="n"/>
      <c r="D374" s="16" t="n"/>
      <c r="E374" s="15" t="inlineStr">
        <is>
          <t>▼</t>
        </is>
      </c>
      <c r="F374" s="15" t="inlineStr">
        <is>
          <t>▼</t>
        </is>
      </c>
      <c r="G374" s="16" t="n"/>
      <c r="H374" s="15" t="inlineStr">
        <is>
          <t>▼</t>
        </is>
      </c>
      <c r="I374" s="17">
        <f>IF(C374="","",D374+IF(F374="Ambil Obat",IF(G374="",0,G374),0))</f>
        <v/>
      </c>
      <c r="J374" s="12">
        <f>$J$368</f>
        <v/>
      </c>
      <c r="K374" s="18" t="inlineStr">
        <is>
          <t>▼</t>
        </is>
      </c>
    </row>
    <row r="375" ht="21.75" customHeight="1" s="314">
      <c r="A375" s="6">
        <f>IF(C375="","",727)</f>
        <v/>
      </c>
      <c r="B375" s="7" t="n">
        <v>46161</v>
      </c>
      <c r="C375" s="8" t="n"/>
      <c r="D375" s="9" t="n"/>
      <c r="E375" s="10" t="inlineStr">
        <is>
          <t>▼</t>
        </is>
      </c>
      <c r="F375" s="10" t="inlineStr">
        <is>
          <t>▼</t>
        </is>
      </c>
      <c r="G375" s="9" t="n"/>
      <c r="H375" s="10" t="inlineStr">
        <is>
          <t>▼</t>
        </is>
      </c>
      <c r="I375" s="11">
        <f>IF(C375="","",D375+IF(F375="Ambil Obat",IF(G375="",0,G375),0))</f>
        <v/>
      </c>
      <c r="J375" s="12">
        <f>$J$368</f>
        <v/>
      </c>
      <c r="K375" s="13" t="inlineStr">
        <is>
          <t>▼</t>
        </is>
      </c>
    </row>
    <row r="376" ht="21.75" customHeight="1" s="314">
      <c r="A376" s="32">
        <f>IF(C376="","",728)</f>
        <v/>
      </c>
      <c r="B376" s="7" t="n">
        <v>46161</v>
      </c>
      <c r="C376" s="14" t="n"/>
      <c r="D376" s="16" t="n"/>
      <c r="E376" s="15" t="inlineStr">
        <is>
          <t>▼</t>
        </is>
      </c>
      <c r="F376" s="15" t="inlineStr">
        <is>
          <t>▼</t>
        </is>
      </c>
      <c r="G376" s="16" t="n"/>
      <c r="H376" s="15" t="inlineStr">
        <is>
          <t>▼</t>
        </is>
      </c>
      <c r="I376" s="17">
        <f>IF(C376="","",D376+IF(F376="Ambil Obat",IF(G376="",0,G376),0))</f>
        <v/>
      </c>
      <c r="J376" s="12">
        <f>$J$368</f>
        <v/>
      </c>
      <c r="K376" s="18" t="inlineStr">
        <is>
          <t>▼</t>
        </is>
      </c>
    </row>
    <row r="377" ht="21.75" customHeight="1" s="314">
      <c r="A377" s="6">
        <f>IF(C377="","",729)</f>
        <v/>
      </c>
      <c r="B377" s="7" t="n">
        <v>46161</v>
      </c>
      <c r="C377" s="8" t="n"/>
      <c r="D377" s="9" t="n"/>
      <c r="E377" s="10" t="inlineStr">
        <is>
          <t>▼</t>
        </is>
      </c>
      <c r="F377" s="10" t="inlineStr">
        <is>
          <t>▼</t>
        </is>
      </c>
      <c r="G377" s="9" t="n"/>
      <c r="H377" s="10" t="inlineStr">
        <is>
          <t>▼</t>
        </is>
      </c>
      <c r="I377" s="11">
        <f>IF(C377="","",D377+IF(F377="Ambil Obat",IF(G377="",0,G377),0))</f>
        <v/>
      </c>
      <c r="J377" s="12">
        <f>$J$368</f>
        <v/>
      </c>
      <c r="K377" s="13" t="inlineStr">
        <is>
          <t>▼</t>
        </is>
      </c>
    </row>
    <row r="378" ht="21.75" customHeight="1" s="314">
      <c r="A378" s="32">
        <f>IF(C378="","",730)</f>
        <v/>
      </c>
      <c r="B378" s="7" t="n">
        <v>46161</v>
      </c>
      <c r="C378" s="14" t="n"/>
      <c r="D378" s="16" t="n"/>
      <c r="E378" s="15" t="inlineStr">
        <is>
          <t>▼</t>
        </is>
      </c>
      <c r="F378" s="15" t="inlineStr">
        <is>
          <t>▼</t>
        </is>
      </c>
      <c r="G378" s="16" t="n"/>
      <c r="H378" s="15" t="inlineStr">
        <is>
          <t>▼</t>
        </is>
      </c>
      <c r="I378" s="17">
        <f>IF(C378="","",D378+IF(F378="Ambil Obat",IF(G378="",0,G378),0))</f>
        <v/>
      </c>
      <c r="J378" s="12">
        <f>$J$368</f>
        <v/>
      </c>
      <c r="K378" s="18" t="inlineStr">
        <is>
          <t>▼</t>
        </is>
      </c>
    </row>
    <row r="379" ht="21.75" customHeight="1" s="314">
      <c r="A379" s="6">
        <f>IF(C379="","",731)</f>
        <v/>
      </c>
      <c r="B379" s="7" t="n">
        <v>46161</v>
      </c>
      <c r="C379" s="8" t="n"/>
      <c r="D379" s="9" t="n"/>
      <c r="E379" s="10" t="inlineStr">
        <is>
          <t>▼</t>
        </is>
      </c>
      <c r="F379" s="10" t="inlineStr">
        <is>
          <t>▼</t>
        </is>
      </c>
      <c r="G379" s="9" t="n"/>
      <c r="H379" s="10" t="inlineStr">
        <is>
          <t>▼</t>
        </is>
      </c>
      <c r="I379" s="11">
        <f>IF(C379="","",D379+IF(F379="Ambil Obat",IF(G379="",0,G379),0))</f>
        <v/>
      </c>
      <c r="J379" s="12">
        <f>$J$368</f>
        <v/>
      </c>
      <c r="K379" s="13" t="inlineStr">
        <is>
          <t>▼</t>
        </is>
      </c>
    </row>
    <row r="380" ht="21.75" customHeight="1" s="314">
      <c r="A380" s="32">
        <f>IF(C380="","",732)</f>
        <v/>
      </c>
      <c r="B380" s="7" t="n">
        <v>46161</v>
      </c>
      <c r="C380" s="14" t="n"/>
      <c r="D380" s="16" t="n"/>
      <c r="E380" s="15" t="inlineStr">
        <is>
          <t>▼</t>
        </is>
      </c>
      <c r="F380" s="15" t="inlineStr">
        <is>
          <t>▼</t>
        </is>
      </c>
      <c r="G380" s="16" t="n"/>
      <c r="H380" s="15" t="inlineStr">
        <is>
          <t>▼</t>
        </is>
      </c>
      <c r="I380" s="17">
        <f>IF(C380="","",D380+IF(F380="Ambil Obat",IF(G380="",0,G380),0))</f>
        <v/>
      </c>
      <c r="J380" s="12">
        <f>$J$368</f>
        <v/>
      </c>
      <c r="K380" s="18" t="inlineStr">
        <is>
          <t>▼</t>
        </is>
      </c>
    </row>
    <row r="381" ht="21.75" customHeight="1" s="314">
      <c r="A381" s="6">
        <f>IF(C381="","",733)</f>
        <v/>
      </c>
      <c r="B381" s="7" t="n">
        <v>46161</v>
      </c>
      <c r="C381" s="8" t="n"/>
      <c r="D381" s="9" t="n"/>
      <c r="E381" s="10" t="inlineStr">
        <is>
          <t>▼</t>
        </is>
      </c>
      <c r="F381" s="10" t="inlineStr">
        <is>
          <t>▼</t>
        </is>
      </c>
      <c r="G381" s="9" t="n"/>
      <c r="H381" s="10" t="inlineStr">
        <is>
          <t>▼</t>
        </is>
      </c>
      <c r="I381" s="11">
        <f>IF(C381="","",D381+IF(F381="Ambil Obat",IF(G381="",0,G381),0))</f>
        <v/>
      </c>
      <c r="J381" s="12">
        <f>$J$368</f>
        <v/>
      </c>
      <c r="K381" s="13" t="inlineStr">
        <is>
          <t>▼</t>
        </is>
      </c>
    </row>
    <row r="382" ht="21.75" customHeight="1" s="314">
      <c r="A382" s="32">
        <f>IF(C382="","",734)</f>
        <v/>
      </c>
      <c r="B382" s="7" t="n">
        <v>46161</v>
      </c>
      <c r="C382" s="14" t="n"/>
      <c r="D382" s="16" t="n"/>
      <c r="E382" s="15" t="inlineStr">
        <is>
          <t>▼</t>
        </is>
      </c>
      <c r="F382" s="15" t="inlineStr">
        <is>
          <t>▼</t>
        </is>
      </c>
      <c r="G382" s="16" t="n"/>
      <c r="H382" s="15" t="inlineStr">
        <is>
          <t>▼</t>
        </is>
      </c>
      <c r="I382" s="17">
        <f>IF(C382="","",D382+IF(F382="Ambil Obat",IF(G382="",0,G382),0))</f>
        <v/>
      </c>
      <c r="J382" s="12">
        <f>$J$368</f>
        <v/>
      </c>
      <c r="K382" s="18" t="inlineStr">
        <is>
          <t>▼</t>
        </is>
      </c>
    </row>
    <row r="383" ht="21.75" customHeight="1" s="314">
      <c r="A383" s="6">
        <f>IF(C383="","",735)</f>
        <v/>
      </c>
      <c r="B383" s="7" t="n">
        <v>46161</v>
      </c>
      <c r="C383" s="8" t="n"/>
      <c r="D383" s="9" t="n"/>
      <c r="E383" s="10" t="inlineStr">
        <is>
          <t>▼</t>
        </is>
      </c>
      <c r="F383" s="10" t="inlineStr">
        <is>
          <t>▼</t>
        </is>
      </c>
      <c r="G383" s="9" t="n"/>
      <c r="H383" s="10" t="inlineStr">
        <is>
          <t>▼</t>
        </is>
      </c>
      <c r="I383" s="11">
        <f>IF(C383="","",D383+IF(F383="Ambil Obat",IF(G383="",0,G383),0))</f>
        <v/>
      </c>
      <c r="J383" s="12">
        <f>$J$368</f>
        <v/>
      </c>
      <c r="K383" s="13" t="inlineStr">
        <is>
          <t>▼</t>
        </is>
      </c>
    </row>
    <row r="384" ht="24" customHeight="1" s="314">
      <c r="A384" s="248">
        <f>IF(COUNTA(C369:C383)=0,"— belum ada data —","📊 Sub-total  "&amp; TEXT(B369,"DD MMM YYYY") &amp;"  ("&amp;COUNTA(C369:C383)&amp;" pasien)")</f>
        <v/>
      </c>
      <c r="B384" s="316" t="n"/>
      <c r="C384" s="316" t="n"/>
      <c r="D384" s="19">
        <f>IF(COUNTA(C369:C383)=0,"",SUM(D369:D383))</f>
        <v/>
      </c>
      <c r="E384" s="20">
        <f>IF(COUNTA(C369:C383)=0,"",SUMIF(E369:E383,"Cash",D369:D383))</f>
        <v/>
      </c>
      <c r="F384" s="21">
        <f>IF(COUNTA(C369:C383)=0,"",SUMIF(E369:E383,"Transfer Bank",D369:D383))</f>
        <v/>
      </c>
      <c r="G384" s="19">
        <f>IF(COUNTA(C369:C383)=0,"",SUMIF(F369:F383,"Ambil Obat",G369:G383))</f>
        <v/>
      </c>
      <c r="H384" s="20">
        <f>IF(COUNTA(C369:C383)=0,"",SUMIFS(G369:G383,H369:H383,"Cash",F369:F383,"Ambil Obat"))</f>
        <v/>
      </c>
      <c r="I384" s="21">
        <f>IF(COUNTA(C369:C383)=0,"",SUMIFS(G369:G383,H369:H383,"Transfer Bank",F369:F383,"Ambil Obat"))</f>
        <v/>
      </c>
      <c r="J384" s="22" t="n"/>
      <c r="K384" s="23">
        <f>IF(COUNTA(C369:C383)=0,"",D384+G384)</f>
        <v/>
      </c>
    </row>
    <row r="385" ht="24" customHeight="1" s="314">
      <c r="A385" s="249" t="inlineStr">
        <is>
          <t>📅  Rabu, 20 Mei 2026</t>
        </is>
      </c>
      <c r="B385" s="5" t="n"/>
      <c r="C385" s="5" t="n"/>
      <c r="D385" s="5" t="n"/>
      <c r="E385" s="5" t="n"/>
      <c r="F385" s="5" t="n"/>
      <c r="G385" s="5" t="n"/>
      <c r="H385" s="5" t="n"/>
      <c r="I385" s="5" t="n"/>
      <c r="J385" s="4" t="inlineStr">
        <is>
          <t>dr. ARIF</t>
        </is>
      </c>
      <c r="K385" s="5" t="n"/>
    </row>
    <row r="386" ht="21.75" customHeight="1" s="314">
      <c r="A386" s="6">
        <f>IF(C386="","",736)</f>
        <v/>
      </c>
      <c r="B386" s="7" t="n">
        <v>46162</v>
      </c>
      <c r="C386" s="8" t="n"/>
      <c r="D386" s="9" t="n"/>
      <c r="E386" s="10" t="inlineStr">
        <is>
          <t>▼</t>
        </is>
      </c>
      <c r="F386" s="10" t="inlineStr">
        <is>
          <t>▼</t>
        </is>
      </c>
      <c r="G386" s="9" t="n"/>
      <c r="H386" s="10" t="inlineStr">
        <is>
          <t>▼</t>
        </is>
      </c>
      <c r="I386" s="11">
        <f>IF(C386="","",D386+IF(F386="Ambil Obat",IF(G386="",0,G386),0))</f>
        <v/>
      </c>
      <c r="J386" s="12">
        <f>$J$385</f>
        <v/>
      </c>
      <c r="K386" s="13" t="inlineStr">
        <is>
          <t>▼</t>
        </is>
      </c>
    </row>
    <row r="387" ht="21.75" customHeight="1" s="314">
      <c r="A387" s="32">
        <f>IF(C387="","",737)</f>
        <v/>
      </c>
      <c r="B387" s="7" t="n">
        <v>46162</v>
      </c>
      <c r="C387" s="14" t="n"/>
      <c r="D387" s="16" t="n"/>
      <c r="E387" s="15" t="inlineStr">
        <is>
          <t>▼</t>
        </is>
      </c>
      <c r="F387" s="15" t="inlineStr">
        <is>
          <t>▼</t>
        </is>
      </c>
      <c r="G387" s="16" t="n"/>
      <c r="H387" s="15" t="inlineStr">
        <is>
          <t>▼</t>
        </is>
      </c>
      <c r="I387" s="17">
        <f>IF(C387="","",D387+IF(F387="Ambil Obat",IF(G387="",0,G387),0))</f>
        <v/>
      </c>
      <c r="J387" s="12">
        <f>$J$385</f>
        <v/>
      </c>
      <c r="K387" s="18" t="inlineStr">
        <is>
          <t>▼</t>
        </is>
      </c>
    </row>
    <row r="388" ht="21.75" customHeight="1" s="314">
      <c r="A388" s="6">
        <f>IF(C388="","",738)</f>
        <v/>
      </c>
      <c r="B388" s="7" t="n">
        <v>46162</v>
      </c>
      <c r="C388" s="8" t="n"/>
      <c r="D388" s="9" t="n"/>
      <c r="E388" s="10" t="inlineStr">
        <is>
          <t>▼</t>
        </is>
      </c>
      <c r="F388" s="10" t="inlineStr">
        <is>
          <t>▼</t>
        </is>
      </c>
      <c r="G388" s="9" t="n"/>
      <c r="H388" s="10" t="inlineStr">
        <is>
          <t>▼</t>
        </is>
      </c>
      <c r="I388" s="11">
        <f>IF(C388="","",D388+IF(F388="Ambil Obat",IF(G388="",0,G388),0))</f>
        <v/>
      </c>
      <c r="J388" s="12">
        <f>$J$385</f>
        <v/>
      </c>
      <c r="K388" s="13" t="inlineStr">
        <is>
          <t>▼</t>
        </is>
      </c>
    </row>
    <row r="389" ht="21.75" customHeight="1" s="314">
      <c r="A389" s="32">
        <f>IF(C389="","",739)</f>
        <v/>
      </c>
      <c r="B389" s="7" t="n">
        <v>46162</v>
      </c>
      <c r="C389" s="14" t="n"/>
      <c r="D389" s="16" t="n"/>
      <c r="E389" s="15" t="inlineStr">
        <is>
          <t>▼</t>
        </is>
      </c>
      <c r="F389" s="15" t="inlineStr">
        <is>
          <t>▼</t>
        </is>
      </c>
      <c r="G389" s="16" t="n"/>
      <c r="H389" s="15" t="inlineStr">
        <is>
          <t>▼</t>
        </is>
      </c>
      <c r="I389" s="17">
        <f>IF(C389="","",D389+IF(F389="Ambil Obat",IF(G389="",0,G389),0))</f>
        <v/>
      </c>
      <c r="J389" s="12">
        <f>$J$385</f>
        <v/>
      </c>
      <c r="K389" s="18" t="inlineStr">
        <is>
          <t>▼</t>
        </is>
      </c>
    </row>
    <row r="390" ht="21.75" customHeight="1" s="314">
      <c r="A390" s="6">
        <f>IF(C390="","",740)</f>
        <v/>
      </c>
      <c r="B390" s="7" t="n">
        <v>46162</v>
      </c>
      <c r="C390" s="8" t="n"/>
      <c r="D390" s="9" t="n"/>
      <c r="E390" s="10" t="inlineStr">
        <is>
          <t>▼</t>
        </is>
      </c>
      <c r="F390" s="10" t="inlineStr">
        <is>
          <t>▼</t>
        </is>
      </c>
      <c r="G390" s="9" t="n"/>
      <c r="H390" s="10" t="inlineStr">
        <is>
          <t>▼</t>
        </is>
      </c>
      <c r="I390" s="11">
        <f>IF(C390="","",D390+IF(F390="Ambil Obat",IF(G390="",0,G390),0))</f>
        <v/>
      </c>
      <c r="J390" s="12">
        <f>$J$385</f>
        <v/>
      </c>
      <c r="K390" s="13" t="inlineStr">
        <is>
          <t>▼</t>
        </is>
      </c>
    </row>
    <row r="391" ht="21.75" customHeight="1" s="314">
      <c r="A391" s="32">
        <f>IF(C391="","",741)</f>
        <v/>
      </c>
      <c r="B391" s="7" t="n">
        <v>46162</v>
      </c>
      <c r="C391" s="14" t="n"/>
      <c r="D391" s="16" t="n"/>
      <c r="E391" s="15" t="inlineStr">
        <is>
          <t>▼</t>
        </is>
      </c>
      <c r="F391" s="15" t="inlineStr">
        <is>
          <t>▼</t>
        </is>
      </c>
      <c r="G391" s="16" t="n"/>
      <c r="H391" s="15" t="inlineStr">
        <is>
          <t>▼</t>
        </is>
      </c>
      <c r="I391" s="17">
        <f>IF(C391="","",D391+IF(F391="Ambil Obat",IF(G391="",0,G391),0))</f>
        <v/>
      </c>
      <c r="J391" s="12">
        <f>$J$385</f>
        <v/>
      </c>
      <c r="K391" s="18" t="inlineStr">
        <is>
          <t>▼</t>
        </is>
      </c>
    </row>
    <row r="392" ht="21.75" customHeight="1" s="314">
      <c r="A392" s="6">
        <f>IF(C392="","",742)</f>
        <v/>
      </c>
      <c r="B392" s="7" t="n">
        <v>46162</v>
      </c>
      <c r="C392" s="8" t="n"/>
      <c r="D392" s="9" t="n"/>
      <c r="E392" s="10" t="inlineStr">
        <is>
          <t>▼</t>
        </is>
      </c>
      <c r="F392" s="10" t="inlineStr">
        <is>
          <t>▼</t>
        </is>
      </c>
      <c r="G392" s="9" t="n"/>
      <c r="H392" s="10" t="inlineStr">
        <is>
          <t>▼</t>
        </is>
      </c>
      <c r="I392" s="11">
        <f>IF(C392="","",D392+IF(F392="Ambil Obat",IF(G392="",0,G392),0))</f>
        <v/>
      </c>
      <c r="J392" s="12">
        <f>$J$385</f>
        <v/>
      </c>
      <c r="K392" s="13" t="inlineStr">
        <is>
          <t>▼</t>
        </is>
      </c>
    </row>
    <row r="393" ht="21.75" customHeight="1" s="314">
      <c r="A393" s="32">
        <f>IF(C393="","",743)</f>
        <v/>
      </c>
      <c r="B393" s="7" t="n">
        <v>46162</v>
      </c>
      <c r="C393" s="14" t="n"/>
      <c r="D393" s="16" t="n"/>
      <c r="E393" s="15" t="inlineStr">
        <is>
          <t>▼</t>
        </is>
      </c>
      <c r="F393" s="15" t="inlineStr">
        <is>
          <t>▼</t>
        </is>
      </c>
      <c r="G393" s="16" t="n"/>
      <c r="H393" s="15" t="inlineStr">
        <is>
          <t>▼</t>
        </is>
      </c>
      <c r="I393" s="17">
        <f>IF(C393="","",D393+IF(F393="Ambil Obat",IF(G393="",0,G393),0))</f>
        <v/>
      </c>
      <c r="J393" s="12">
        <f>$J$385</f>
        <v/>
      </c>
      <c r="K393" s="18" t="inlineStr">
        <is>
          <t>▼</t>
        </is>
      </c>
    </row>
    <row r="394" ht="21.75" customHeight="1" s="314">
      <c r="A394" s="6">
        <f>IF(C394="","",744)</f>
        <v/>
      </c>
      <c r="B394" s="7" t="n">
        <v>46162</v>
      </c>
      <c r="C394" s="8" t="n"/>
      <c r="D394" s="9" t="n"/>
      <c r="E394" s="10" t="inlineStr">
        <is>
          <t>▼</t>
        </is>
      </c>
      <c r="F394" s="10" t="inlineStr">
        <is>
          <t>▼</t>
        </is>
      </c>
      <c r="G394" s="9" t="n"/>
      <c r="H394" s="10" t="inlineStr">
        <is>
          <t>▼</t>
        </is>
      </c>
      <c r="I394" s="11">
        <f>IF(C394="","",D394+IF(F394="Ambil Obat",IF(G394="",0,G394),0))</f>
        <v/>
      </c>
      <c r="J394" s="12">
        <f>$J$385</f>
        <v/>
      </c>
      <c r="K394" s="13" t="inlineStr">
        <is>
          <t>▼</t>
        </is>
      </c>
    </row>
    <row r="395" ht="21.75" customHeight="1" s="314">
      <c r="A395" s="32">
        <f>IF(C395="","",745)</f>
        <v/>
      </c>
      <c r="B395" s="7" t="n">
        <v>46162</v>
      </c>
      <c r="C395" s="14" t="n"/>
      <c r="D395" s="16" t="n"/>
      <c r="E395" s="15" t="inlineStr">
        <is>
          <t>▼</t>
        </is>
      </c>
      <c r="F395" s="15" t="inlineStr">
        <is>
          <t>▼</t>
        </is>
      </c>
      <c r="G395" s="16" t="n"/>
      <c r="H395" s="15" t="inlineStr">
        <is>
          <t>▼</t>
        </is>
      </c>
      <c r="I395" s="17">
        <f>IF(C395="","",D395+IF(F395="Ambil Obat",IF(G395="",0,G395),0))</f>
        <v/>
      </c>
      <c r="J395" s="12">
        <f>$J$385</f>
        <v/>
      </c>
      <c r="K395" s="18" t="inlineStr">
        <is>
          <t>▼</t>
        </is>
      </c>
    </row>
    <row r="396" ht="21.75" customHeight="1" s="314">
      <c r="A396" s="6">
        <f>IF(C396="","",746)</f>
        <v/>
      </c>
      <c r="B396" s="7" t="n">
        <v>46162</v>
      </c>
      <c r="C396" s="8" t="n"/>
      <c r="D396" s="9" t="n"/>
      <c r="E396" s="10" t="inlineStr">
        <is>
          <t>▼</t>
        </is>
      </c>
      <c r="F396" s="10" t="inlineStr">
        <is>
          <t>▼</t>
        </is>
      </c>
      <c r="G396" s="9" t="n"/>
      <c r="H396" s="10" t="inlineStr">
        <is>
          <t>▼</t>
        </is>
      </c>
      <c r="I396" s="11">
        <f>IF(C396="","",D396+IF(F396="Ambil Obat",IF(G396="",0,G396),0))</f>
        <v/>
      </c>
      <c r="J396" s="12">
        <f>$J$385</f>
        <v/>
      </c>
      <c r="K396" s="13" t="inlineStr">
        <is>
          <t>▼</t>
        </is>
      </c>
    </row>
    <row r="397" ht="21.75" customHeight="1" s="314">
      <c r="A397" s="32">
        <f>IF(C397="","",747)</f>
        <v/>
      </c>
      <c r="B397" s="7" t="n">
        <v>46162</v>
      </c>
      <c r="C397" s="14" t="n"/>
      <c r="D397" s="16" t="n"/>
      <c r="E397" s="15" t="inlineStr">
        <is>
          <t>▼</t>
        </is>
      </c>
      <c r="F397" s="15" t="inlineStr">
        <is>
          <t>▼</t>
        </is>
      </c>
      <c r="G397" s="16" t="n"/>
      <c r="H397" s="15" t="inlineStr">
        <is>
          <t>▼</t>
        </is>
      </c>
      <c r="I397" s="17">
        <f>IF(C397="","",D397+IF(F397="Ambil Obat",IF(G397="",0,G397),0))</f>
        <v/>
      </c>
      <c r="J397" s="12">
        <f>$J$385</f>
        <v/>
      </c>
      <c r="K397" s="18" t="inlineStr">
        <is>
          <t>▼</t>
        </is>
      </c>
    </row>
    <row r="398" ht="21.75" customHeight="1" s="314">
      <c r="A398" s="6">
        <f>IF(C398="","",748)</f>
        <v/>
      </c>
      <c r="B398" s="7" t="n">
        <v>46162</v>
      </c>
      <c r="C398" s="8" t="n"/>
      <c r="D398" s="9" t="n"/>
      <c r="E398" s="10" t="inlineStr">
        <is>
          <t>▼</t>
        </is>
      </c>
      <c r="F398" s="10" t="inlineStr">
        <is>
          <t>▼</t>
        </is>
      </c>
      <c r="G398" s="9" t="n"/>
      <c r="H398" s="10" t="inlineStr">
        <is>
          <t>▼</t>
        </is>
      </c>
      <c r="I398" s="11">
        <f>IF(C398="","",D398+IF(F398="Ambil Obat",IF(G398="",0,G398),0))</f>
        <v/>
      </c>
      <c r="J398" s="12">
        <f>$J$385</f>
        <v/>
      </c>
      <c r="K398" s="13" t="inlineStr">
        <is>
          <t>▼</t>
        </is>
      </c>
    </row>
    <row r="399" ht="21.75" customHeight="1" s="314">
      <c r="A399" s="32">
        <f>IF(C399="","",749)</f>
        <v/>
      </c>
      <c r="B399" s="7" t="n">
        <v>46162</v>
      </c>
      <c r="C399" s="14" t="n"/>
      <c r="D399" s="16" t="n"/>
      <c r="E399" s="15" t="inlineStr">
        <is>
          <t>▼</t>
        </is>
      </c>
      <c r="F399" s="15" t="inlineStr">
        <is>
          <t>▼</t>
        </is>
      </c>
      <c r="G399" s="16" t="n"/>
      <c r="H399" s="15" t="inlineStr">
        <is>
          <t>▼</t>
        </is>
      </c>
      <c r="I399" s="17">
        <f>IF(C399="","",D399+IF(F399="Ambil Obat",IF(G399="",0,G399),0))</f>
        <v/>
      </c>
      <c r="J399" s="12">
        <f>$J$385</f>
        <v/>
      </c>
      <c r="K399" s="18" t="inlineStr">
        <is>
          <t>▼</t>
        </is>
      </c>
    </row>
    <row r="400" ht="21.75" customHeight="1" s="314">
      <c r="A400" s="6">
        <f>IF(C400="","",750)</f>
        <v/>
      </c>
      <c r="B400" s="7" t="n">
        <v>46162</v>
      </c>
      <c r="C400" s="8" t="n"/>
      <c r="D400" s="9" t="n"/>
      <c r="E400" s="10" t="inlineStr">
        <is>
          <t>▼</t>
        </is>
      </c>
      <c r="F400" s="10" t="inlineStr">
        <is>
          <t>▼</t>
        </is>
      </c>
      <c r="G400" s="9" t="n"/>
      <c r="H400" s="10" t="inlineStr">
        <is>
          <t>▼</t>
        </is>
      </c>
      <c r="I400" s="11">
        <f>IF(C400="","",D400+IF(F400="Ambil Obat",IF(G400="",0,G400),0))</f>
        <v/>
      </c>
      <c r="J400" s="12">
        <f>$J$385</f>
        <v/>
      </c>
      <c r="K400" s="13" t="inlineStr">
        <is>
          <t>▼</t>
        </is>
      </c>
    </row>
    <row r="401" ht="24" customHeight="1" s="314">
      <c r="A401" s="248">
        <f>IF(COUNTA(C386:C400)=0,"— belum ada data —","📊 Sub-total  "&amp; TEXT(B386,"DD MMM YYYY") &amp;"  ("&amp;COUNTA(C386:C400)&amp;" pasien)")</f>
        <v/>
      </c>
      <c r="B401" s="316" t="n"/>
      <c r="C401" s="316" t="n"/>
      <c r="D401" s="19">
        <f>IF(COUNTA(C386:C400)=0,"",SUM(D386:D400))</f>
        <v/>
      </c>
      <c r="E401" s="20">
        <f>IF(COUNTA(C386:C400)=0,"",SUMIF(E386:E400,"Cash",D386:D400))</f>
        <v/>
      </c>
      <c r="F401" s="21">
        <f>IF(COUNTA(C386:C400)=0,"",SUMIF(E386:E400,"Transfer Bank",D386:D400))</f>
        <v/>
      </c>
      <c r="G401" s="19">
        <f>IF(COUNTA(C386:C400)=0,"",SUMIF(F386:F400,"Ambil Obat",G386:G400))</f>
        <v/>
      </c>
      <c r="H401" s="20">
        <f>IF(COUNTA(C386:C400)=0,"",SUMIFS(G386:G400,H386:H400,"Cash",F386:F400,"Ambil Obat"))</f>
        <v/>
      </c>
      <c r="I401" s="21">
        <f>IF(COUNTA(C386:C400)=0,"",SUMIFS(G386:G400,H386:H400,"Transfer Bank",F386:F400,"Ambil Obat"))</f>
        <v/>
      </c>
      <c r="J401" s="22" t="n"/>
      <c r="K401" s="23">
        <f>IF(COUNTA(C386:C400)=0,"",D401+G401)</f>
        <v/>
      </c>
    </row>
    <row r="402" ht="24" customHeight="1" s="314">
      <c r="A402" s="249" t="inlineStr">
        <is>
          <t>📅  Kamis, 21 Mei 2026</t>
        </is>
      </c>
      <c r="B402" s="5" t="n"/>
      <c r="C402" s="5" t="n"/>
      <c r="D402" s="5" t="n"/>
      <c r="E402" s="5" t="n"/>
      <c r="F402" s="5" t="n"/>
      <c r="G402" s="5" t="n"/>
      <c r="H402" s="5" t="n"/>
      <c r="I402" s="5" t="n"/>
      <c r="J402" s="4" t="inlineStr">
        <is>
          <t>dr. ARIF</t>
        </is>
      </c>
      <c r="K402" s="5" t="n"/>
    </row>
    <row r="403" ht="21.75" customHeight="1" s="314">
      <c r="A403" s="6">
        <f>IF(C403="","",751)</f>
        <v/>
      </c>
      <c r="B403" s="7" t="n">
        <v>46163</v>
      </c>
      <c r="C403" s="8" t="n"/>
      <c r="D403" s="9" t="n"/>
      <c r="E403" s="10" t="inlineStr">
        <is>
          <t>▼</t>
        </is>
      </c>
      <c r="F403" s="10" t="inlineStr">
        <is>
          <t>▼</t>
        </is>
      </c>
      <c r="G403" s="9" t="n"/>
      <c r="H403" s="10" t="inlineStr">
        <is>
          <t>▼</t>
        </is>
      </c>
      <c r="I403" s="11">
        <f>IF(C403="","",D403+IF(F403="Ambil Obat",IF(G403="",0,G403),0))</f>
        <v/>
      </c>
      <c r="J403" s="12">
        <f>$J$402</f>
        <v/>
      </c>
      <c r="K403" s="13" t="inlineStr">
        <is>
          <t>▼</t>
        </is>
      </c>
    </row>
    <row r="404" ht="21.75" customHeight="1" s="314">
      <c r="A404" s="32">
        <f>IF(C404="","",752)</f>
        <v/>
      </c>
      <c r="B404" s="7" t="n">
        <v>46163</v>
      </c>
      <c r="C404" s="14" t="n"/>
      <c r="D404" s="16" t="n"/>
      <c r="E404" s="15" t="inlineStr">
        <is>
          <t>▼</t>
        </is>
      </c>
      <c r="F404" s="15" t="inlineStr">
        <is>
          <t>▼</t>
        </is>
      </c>
      <c r="G404" s="16" t="n"/>
      <c r="H404" s="15" t="inlineStr">
        <is>
          <t>▼</t>
        </is>
      </c>
      <c r="I404" s="17">
        <f>IF(C404="","",D404+IF(F404="Ambil Obat",IF(G404="",0,G404),0))</f>
        <v/>
      </c>
      <c r="J404" s="12">
        <f>$J$402</f>
        <v/>
      </c>
      <c r="K404" s="18" t="inlineStr">
        <is>
          <t>▼</t>
        </is>
      </c>
    </row>
    <row r="405" ht="21.75" customHeight="1" s="314">
      <c r="A405" s="6">
        <f>IF(C405="","",753)</f>
        <v/>
      </c>
      <c r="B405" s="7" t="n">
        <v>46163</v>
      </c>
      <c r="C405" s="8" t="n"/>
      <c r="D405" s="9" t="n"/>
      <c r="E405" s="10" t="inlineStr">
        <is>
          <t>▼</t>
        </is>
      </c>
      <c r="F405" s="10" t="inlineStr">
        <is>
          <t>▼</t>
        </is>
      </c>
      <c r="G405" s="9" t="n"/>
      <c r="H405" s="10" t="inlineStr">
        <is>
          <t>▼</t>
        </is>
      </c>
      <c r="I405" s="11">
        <f>IF(C405="","",D405+IF(F405="Ambil Obat",IF(G405="",0,G405),0))</f>
        <v/>
      </c>
      <c r="J405" s="12">
        <f>$J$402</f>
        <v/>
      </c>
      <c r="K405" s="13" t="inlineStr">
        <is>
          <t>▼</t>
        </is>
      </c>
    </row>
    <row r="406" ht="21.75" customHeight="1" s="314">
      <c r="A406" s="32">
        <f>IF(C406="","",754)</f>
        <v/>
      </c>
      <c r="B406" s="7" t="n">
        <v>46163</v>
      </c>
      <c r="C406" s="14" t="n"/>
      <c r="D406" s="16" t="n"/>
      <c r="E406" s="15" t="inlineStr">
        <is>
          <t>▼</t>
        </is>
      </c>
      <c r="F406" s="15" t="inlineStr">
        <is>
          <t>▼</t>
        </is>
      </c>
      <c r="G406" s="16" t="n"/>
      <c r="H406" s="15" t="inlineStr">
        <is>
          <t>▼</t>
        </is>
      </c>
      <c r="I406" s="17">
        <f>IF(C406="","",D406+IF(F406="Ambil Obat",IF(G406="",0,G406),0))</f>
        <v/>
      </c>
      <c r="J406" s="12">
        <f>$J$402</f>
        <v/>
      </c>
      <c r="K406" s="18" t="inlineStr">
        <is>
          <t>▼</t>
        </is>
      </c>
    </row>
    <row r="407" ht="21.75" customHeight="1" s="314">
      <c r="A407" s="6">
        <f>IF(C407="","",755)</f>
        <v/>
      </c>
      <c r="B407" s="7" t="n">
        <v>46163</v>
      </c>
      <c r="C407" s="8" t="n"/>
      <c r="D407" s="9" t="n"/>
      <c r="E407" s="10" t="inlineStr">
        <is>
          <t>▼</t>
        </is>
      </c>
      <c r="F407" s="10" t="inlineStr">
        <is>
          <t>▼</t>
        </is>
      </c>
      <c r="G407" s="9" t="n"/>
      <c r="H407" s="10" t="inlineStr">
        <is>
          <t>▼</t>
        </is>
      </c>
      <c r="I407" s="11">
        <f>IF(C407="","",D407+IF(F407="Ambil Obat",IF(G407="",0,G407),0))</f>
        <v/>
      </c>
      <c r="J407" s="12">
        <f>$J$402</f>
        <v/>
      </c>
      <c r="K407" s="13" t="inlineStr">
        <is>
          <t>▼</t>
        </is>
      </c>
    </row>
    <row r="408" ht="21.75" customHeight="1" s="314">
      <c r="A408" s="32">
        <f>IF(C408="","",756)</f>
        <v/>
      </c>
      <c r="B408" s="7" t="n">
        <v>46163</v>
      </c>
      <c r="C408" s="14" t="n"/>
      <c r="D408" s="16" t="n"/>
      <c r="E408" s="15" t="inlineStr">
        <is>
          <t>▼</t>
        </is>
      </c>
      <c r="F408" s="15" t="inlineStr">
        <is>
          <t>▼</t>
        </is>
      </c>
      <c r="G408" s="16" t="n"/>
      <c r="H408" s="15" t="inlineStr">
        <is>
          <t>▼</t>
        </is>
      </c>
      <c r="I408" s="17">
        <f>IF(C408="","",D408+IF(F408="Ambil Obat",IF(G408="",0,G408),0))</f>
        <v/>
      </c>
      <c r="J408" s="12">
        <f>$J$402</f>
        <v/>
      </c>
      <c r="K408" s="18" t="inlineStr">
        <is>
          <t>▼</t>
        </is>
      </c>
    </row>
    <row r="409" ht="21.75" customHeight="1" s="314">
      <c r="A409" s="6">
        <f>IF(C409="","",757)</f>
        <v/>
      </c>
      <c r="B409" s="7" t="n">
        <v>46163</v>
      </c>
      <c r="C409" s="8" t="n"/>
      <c r="D409" s="9" t="n"/>
      <c r="E409" s="10" t="inlineStr">
        <is>
          <t>▼</t>
        </is>
      </c>
      <c r="F409" s="10" t="inlineStr">
        <is>
          <t>▼</t>
        </is>
      </c>
      <c r="G409" s="9" t="n"/>
      <c r="H409" s="10" t="inlineStr">
        <is>
          <t>▼</t>
        </is>
      </c>
      <c r="I409" s="11">
        <f>IF(C409="","",D409+IF(F409="Ambil Obat",IF(G409="",0,G409),0))</f>
        <v/>
      </c>
      <c r="J409" s="12">
        <f>$J$402</f>
        <v/>
      </c>
      <c r="K409" s="13" t="inlineStr">
        <is>
          <t>▼</t>
        </is>
      </c>
    </row>
    <row r="410" ht="21.75" customHeight="1" s="314">
      <c r="A410" s="32">
        <f>IF(C410="","",758)</f>
        <v/>
      </c>
      <c r="B410" s="7" t="n">
        <v>46163</v>
      </c>
      <c r="C410" s="14" t="n"/>
      <c r="D410" s="16" t="n"/>
      <c r="E410" s="15" t="inlineStr">
        <is>
          <t>▼</t>
        </is>
      </c>
      <c r="F410" s="15" t="inlineStr">
        <is>
          <t>▼</t>
        </is>
      </c>
      <c r="G410" s="16" t="n"/>
      <c r="H410" s="15" t="inlineStr">
        <is>
          <t>▼</t>
        </is>
      </c>
      <c r="I410" s="17">
        <f>IF(C410="","",D410+IF(F410="Ambil Obat",IF(G410="",0,G410),0))</f>
        <v/>
      </c>
      <c r="J410" s="12">
        <f>$J$402</f>
        <v/>
      </c>
      <c r="K410" s="18" t="inlineStr">
        <is>
          <t>▼</t>
        </is>
      </c>
    </row>
    <row r="411" ht="21.75" customHeight="1" s="314">
      <c r="A411" s="6">
        <f>IF(C411="","",759)</f>
        <v/>
      </c>
      <c r="B411" s="7" t="n">
        <v>46163</v>
      </c>
      <c r="C411" s="8" t="n"/>
      <c r="D411" s="9" t="n"/>
      <c r="E411" s="10" t="inlineStr">
        <is>
          <t>▼</t>
        </is>
      </c>
      <c r="F411" s="10" t="inlineStr">
        <is>
          <t>▼</t>
        </is>
      </c>
      <c r="G411" s="9" t="n"/>
      <c r="H411" s="10" t="inlineStr">
        <is>
          <t>▼</t>
        </is>
      </c>
      <c r="I411" s="11">
        <f>IF(C411="","",D411+IF(F411="Ambil Obat",IF(G411="",0,G411),0))</f>
        <v/>
      </c>
      <c r="J411" s="12">
        <f>$J$402</f>
        <v/>
      </c>
      <c r="K411" s="13" t="inlineStr">
        <is>
          <t>▼</t>
        </is>
      </c>
    </row>
    <row r="412" ht="21.75" customHeight="1" s="314">
      <c r="A412" s="32">
        <f>IF(C412="","",760)</f>
        <v/>
      </c>
      <c r="B412" s="7" t="n">
        <v>46163</v>
      </c>
      <c r="C412" s="14" t="n"/>
      <c r="D412" s="16" t="n"/>
      <c r="E412" s="15" t="inlineStr">
        <is>
          <t>▼</t>
        </is>
      </c>
      <c r="F412" s="15" t="inlineStr">
        <is>
          <t>▼</t>
        </is>
      </c>
      <c r="G412" s="16" t="n"/>
      <c r="H412" s="15" t="inlineStr">
        <is>
          <t>▼</t>
        </is>
      </c>
      <c r="I412" s="17">
        <f>IF(C412="","",D412+IF(F412="Ambil Obat",IF(G412="",0,G412),0))</f>
        <v/>
      </c>
      <c r="J412" s="12">
        <f>$J$402</f>
        <v/>
      </c>
      <c r="K412" s="18" t="inlineStr">
        <is>
          <t>▼</t>
        </is>
      </c>
    </row>
    <row r="413" ht="21.75" customHeight="1" s="314">
      <c r="A413" s="6">
        <f>IF(C413="","",761)</f>
        <v/>
      </c>
      <c r="B413" s="7" t="n">
        <v>46163</v>
      </c>
      <c r="C413" s="8" t="n"/>
      <c r="D413" s="9" t="n"/>
      <c r="E413" s="10" t="inlineStr">
        <is>
          <t>▼</t>
        </is>
      </c>
      <c r="F413" s="10" t="inlineStr">
        <is>
          <t>▼</t>
        </is>
      </c>
      <c r="G413" s="9" t="n"/>
      <c r="H413" s="10" t="inlineStr">
        <is>
          <t>▼</t>
        </is>
      </c>
      <c r="I413" s="11">
        <f>IF(C413="","",D413+IF(F413="Ambil Obat",IF(G413="",0,G413),0))</f>
        <v/>
      </c>
      <c r="J413" s="12">
        <f>$J$402</f>
        <v/>
      </c>
      <c r="K413" s="13" t="inlineStr">
        <is>
          <t>▼</t>
        </is>
      </c>
    </row>
    <row r="414" ht="21.75" customHeight="1" s="314">
      <c r="A414" s="32">
        <f>IF(C414="","",762)</f>
        <v/>
      </c>
      <c r="B414" s="7" t="n">
        <v>46163</v>
      </c>
      <c r="C414" s="14" t="n"/>
      <c r="D414" s="16" t="n"/>
      <c r="E414" s="15" t="inlineStr">
        <is>
          <t>▼</t>
        </is>
      </c>
      <c r="F414" s="15" t="inlineStr">
        <is>
          <t>▼</t>
        </is>
      </c>
      <c r="G414" s="16" t="n"/>
      <c r="H414" s="15" t="inlineStr">
        <is>
          <t>▼</t>
        </is>
      </c>
      <c r="I414" s="17">
        <f>IF(C414="","",D414+IF(F414="Ambil Obat",IF(G414="",0,G414),0))</f>
        <v/>
      </c>
      <c r="J414" s="12">
        <f>$J$402</f>
        <v/>
      </c>
      <c r="K414" s="18" t="inlineStr">
        <is>
          <t>▼</t>
        </is>
      </c>
    </row>
    <row r="415" ht="21.75" customHeight="1" s="314">
      <c r="A415" s="6">
        <f>IF(C415="","",763)</f>
        <v/>
      </c>
      <c r="B415" s="7" t="n">
        <v>46163</v>
      </c>
      <c r="C415" s="8" t="n"/>
      <c r="D415" s="9" t="n"/>
      <c r="E415" s="10" t="inlineStr">
        <is>
          <t>▼</t>
        </is>
      </c>
      <c r="F415" s="10" t="inlineStr">
        <is>
          <t>▼</t>
        </is>
      </c>
      <c r="G415" s="9" t="n"/>
      <c r="H415" s="10" t="inlineStr">
        <is>
          <t>▼</t>
        </is>
      </c>
      <c r="I415" s="11">
        <f>IF(C415="","",D415+IF(F415="Ambil Obat",IF(G415="",0,G415),0))</f>
        <v/>
      </c>
      <c r="J415" s="12">
        <f>$J$402</f>
        <v/>
      </c>
      <c r="K415" s="13" t="inlineStr">
        <is>
          <t>▼</t>
        </is>
      </c>
    </row>
    <row r="416" ht="21.75" customHeight="1" s="314">
      <c r="A416" s="32">
        <f>IF(C416="","",764)</f>
        <v/>
      </c>
      <c r="B416" s="7" t="n">
        <v>46163</v>
      </c>
      <c r="C416" s="14" t="n"/>
      <c r="D416" s="16" t="n"/>
      <c r="E416" s="15" t="inlineStr">
        <is>
          <t>▼</t>
        </is>
      </c>
      <c r="F416" s="15" t="inlineStr">
        <is>
          <t>▼</t>
        </is>
      </c>
      <c r="G416" s="16" t="n"/>
      <c r="H416" s="15" t="inlineStr">
        <is>
          <t>▼</t>
        </is>
      </c>
      <c r="I416" s="17">
        <f>IF(C416="","",D416+IF(F416="Ambil Obat",IF(G416="",0,G416),0))</f>
        <v/>
      </c>
      <c r="J416" s="12">
        <f>$J$402</f>
        <v/>
      </c>
      <c r="K416" s="18" t="inlineStr">
        <is>
          <t>▼</t>
        </is>
      </c>
    </row>
    <row r="417" ht="21.75" customHeight="1" s="314">
      <c r="A417" s="6">
        <f>IF(C417="","",765)</f>
        <v/>
      </c>
      <c r="B417" s="7" t="n">
        <v>46163</v>
      </c>
      <c r="C417" s="8" t="n"/>
      <c r="D417" s="9" t="n"/>
      <c r="E417" s="10" t="inlineStr">
        <is>
          <t>▼</t>
        </is>
      </c>
      <c r="F417" s="10" t="inlineStr">
        <is>
          <t>▼</t>
        </is>
      </c>
      <c r="G417" s="9" t="n"/>
      <c r="H417" s="10" t="inlineStr">
        <is>
          <t>▼</t>
        </is>
      </c>
      <c r="I417" s="11">
        <f>IF(C417="","",D417+IF(F417="Ambil Obat",IF(G417="",0,G417),0))</f>
        <v/>
      </c>
      <c r="J417" s="12">
        <f>$J$402</f>
        <v/>
      </c>
      <c r="K417" s="13" t="inlineStr">
        <is>
          <t>▼</t>
        </is>
      </c>
    </row>
    <row r="418" ht="24" customHeight="1" s="314">
      <c r="A418" s="248">
        <f>IF(COUNTA(C403:C417)=0,"— belum ada data —","📊 Sub-total  "&amp; TEXT(B403,"DD MMM YYYY") &amp;"  ("&amp;COUNTA(C403:C417)&amp;" pasien)")</f>
        <v/>
      </c>
      <c r="B418" s="316" t="n"/>
      <c r="C418" s="316" t="n"/>
      <c r="D418" s="19">
        <f>IF(COUNTA(C403:C417)=0,"",SUM(D403:D417))</f>
        <v/>
      </c>
      <c r="E418" s="20">
        <f>IF(COUNTA(C403:C417)=0,"",SUMIF(E403:E417,"Cash",D403:D417))</f>
        <v/>
      </c>
      <c r="F418" s="21">
        <f>IF(COUNTA(C403:C417)=0,"",SUMIF(E403:E417,"Transfer Bank",D403:D417))</f>
        <v/>
      </c>
      <c r="G418" s="19">
        <f>IF(COUNTA(C403:C417)=0,"",SUMIF(F403:F417,"Ambil Obat",G403:G417))</f>
        <v/>
      </c>
      <c r="H418" s="20">
        <f>IF(COUNTA(C403:C417)=0,"",SUMIFS(G403:G417,H403:H417,"Cash",F403:F417,"Ambil Obat"))</f>
        <v/>
      </c>
      <c r="I418" s="21">
        <f>IF(COUNTA(C403:C417)=0,"",SUMIFS(G403:G417,H403:H417,"Transfer Bank",F403:F417,"Ambil Obat"))</f>
        <v/>
      </c>
      <c r="J418" s="22" t="n"/>
      <c r="K418" s="23">
        <f>IF(COUNTA(C403:C417)=0,"",D418+G418)</f>
        <v/>
      </c>
    </row>
    <row r="419" ht="24" customHeight="1" s="314">
      <c r="A419" s="249" t="inlineStr">
        <is>
          <t>📅  Jumat, 22 Mei 2026</t>
        </is>
      </c>
      <c r="B419" s="5" t="n"/>
      <c r="C419" s="5" t="n"/>
      <c r="D419" s="5" t="n"/>
      <c r="E419" s="5" t="n"/>
      <c r="F419" s="5" t="n"/>
      <c r="G419" s="5" t="n"/>
      <c r="H419" s="5" t="n"/>
      <c r="I419" s="5" t="n"/>
      <c r="J419" s="4" t="inlineStr">
        <is>
          <t>dr. JOJO</t>
        </is>
      </c>
      <c r="K419" s="5" t="n"/>
    </row>
    <row r="420" ht="21.75" customHeight="1" s="314">
      <c r="A420" s="6">
        <f>IF(C420="","",766)</f>
        <v/>
      </c>
      <c r="B420" s="7" t="n">
        <v>46164</v>
      </c>
      <c r="C420" s="8" t="n"/>
      <c r="D420" s="9" t="n"/>
      <c r="E420" s="10" t="inlineStr">
        <is>
          <t>▼</t>
        </is>
      </c>
      <c r="F420" s="10" t="inlineStr">
        <is>
          <t>▼</t>
        </is>
      </c>
      <c r="G420" s="9" t="n"/>
      <c r="H420" s="10" t="inlineStr">
        <is>
          <t>▼</t>
        </is>
      </c>
      <c r="I420" s="11">
        <f>IF(C420="","",D420+IF(F420="Ambil Obat",IF(G420="",0,G420),0))</f>
        <v/>
      </c>
      <c r="J420" s="12">
        <f>$J$419</f>
        <v/>
      </c>
      <c r="K420" s="13" t="inlineStr">
        <is>
          <t>▼</t>
        </is>
      </c>
    </row>
    <row r="421" ht="21.75" customHeight="1" s="314">
      <c r="A421" s="32">
        <f>IF(C421="","",767)</f>
        <v/>
      </c>
      <c r="B421" s="7" t="n">
        <v>46164</v>
      </c>
      <c r="C421" s="14" t="n"/>
      <c r="D421" s="16" t="n"/>
      <c r="E421" s="15" t="inlineStr">
        <is>
          <t>▼</t>
        </is>
      </c>
      <c r="F421" s="15" t="inlineStr">
        <is>
          <t>▼</t>
        </is>
      </c>
      <c r="G421" s="16" t="n"/>
      <c r="H421" s="15" t="inlineStr">
        <is>
          <t>▼</t>
        </is>
      </c>
      <c r="I421" s="17">
        <f>IF(C421="","",D421+IF(F421="Ambil Obat",IF(G421="",0,G421),0))</f>
        <v/>
      </c>
      <c r="J421" s="12">
        <f>$J$419</f>
        <v/>
      </c>
      <c r="K421" s="18" t="inlineStr">
        <is>
          <t>▼</t>
        </is>
      </c>
    </row>
    <row r="422" ht="21.75" customHeight="1" s="314">
      <c r="A422" s="6">
        <f>IF(C422="","",768)</f>
        <v/>
      </c>
      <c r="B422" s="7" t="n">
        <v>46164</v>
      </c>
      <c r="C422" s="8" t="n"/>
      <c r="D422" s="9" t="n"/>
      <c r="E422" s="10" t="inlineStr">
        <is>
          <t>▼</t>
        </is>
      </c>
      <c r="F422" s="10" t="inlineStr">
        <is>
          <t>▼</t>
        </is>
      </c>
      <c r="G422" s="9" t="n"/>
      <c r="H422" s="10" t="inlineStr">
        <is>
          <t>▼</t>
        </is>
      </c>
      <c r="I422" s="11">
        <f>IF(C422="","",D422+IF(F422="Ambil Obat",IF(G422="",0,G422),0))</f>
        <v/>
      </c>
      <c r="J422" s="12">
        <f>$J$419</f>
        <v/>
      </c>
      <c r="K422" s="13" t="inlineStr">
        <is>
          <t>▼</t>
        </is>
      </c>
    </row>
    <row r="423" ht="21.75" customHeight="1" s="314">
      <c r="A423" s="32">
        <f>IF(C423="","",769)</f>
        <v/>
      </c>
      <c r="B423" s="7" t="n">
        <v>46164</v>
      </c>
      <c r="C423" s="14" t="n"/>
      <c r="D423" s="16" t="n"/>
      <c r="E423" s="15" t="inlineStr">
        <is>
          <t>▼</t>
        </is>
      </c>
      <c r="F423" s="15" t="inlineStr">
        <is>
          <t>▼</t>
        </is>
      </c>
      <c r="G423" s="16" t="n"/>
      <c r="H423" s="15" t="inlineStr">
        <is>
          <t>▼</t>
        </is>
      </c>
      <c r="I423" s="17">
        <f>IF(C423="","",D423+IF(F423="Ambil Obat",IF(G423="",0,G423),0))</f>
        <v/>
      </c>
      <c r="J423" s="12">
        <f>$J$419</f>
        <v/>
      </c>
      <c r="K423" s="18" t="inlineStr">
        <is>
          <t>▼</t>
        </is>
      </c>
    </row>
    <row r="424" ht="21.75" customHeight="1" s="314">
      <c r="A424" s="6">
        <f>IF(C424="","",770)</f>
        <v/>
      </c>
      <c r="B424" s="7" t="n">
        <v>46164</v>
      </c>
      <c r="C424" s="8" t="n"/>
      <c r="D424" s="9" t="n"/>
      <c r="E424" s="10" t="inlineStr">
        <is>
          <t>▼</t>
        </is>
      </c>
      <c r="F424" s="10" t="inlineStr">
        <is>
          <t>▼</t>
        </is>
      </c>
      <c r="G424" s="9" t="n"/>
      <c r="H424" s="10" t="inlineStr">
        <is>
          <t>▼</t>
        </is>
      </c>
      <c r="I424" s="11">
        <f>IF(C424="","",D424+IF(F424="Ambil Obat",IF(G424="",0,G424),0))</f>
        <v/>
      </c>
      <c r="J424" s="12">
        <f>$J$419</f>
        <v/>
      </c>
      <c r="K424" s="13" t="inlineStr">
        <is>
          <t>▼</t>
        </is>
      </c>
    </row>
    <row r="425" ht="21.75" customHeight="1" s="314">
      <c r="A425" s="32">
        <f>IF(C425="","",771)</f>
        <v/>
      </c>
      <c r="B425" s="7" t="n">
        <v>46164</v>
      </c>
      <c r="C425" s="14" t="n"/>
      <c r="D425" s="16" t="n"/>
      <c r="E425" s="15" t="inlineStr">
        <is>
          <t>▼</t>
        </is>
      </c>
      <c r="F425" s="15" t="inlineStr">
        <is>
          <t>▼</t>
        </is>
      </c>
      <c r="G425" s="16" t="n"/>
      <c r="H425" s="15" t="inlineStr">
        <is>
          <t>▼</t>
        </is>
      </c>
      <c r="I425" s="17">
        <f>IF(C425="","",D425+IF(F425="Ambil Obat",IF(G425="",0,G425),0))</f>
        <v/>
      </c>
      <c r="J425" s="12">
        <f>$J$419</f>
        <v/>
      </c>
      <c r="K425" s="18" t="inlineStr">
        <is>
          <t>▼</t>
        </is>
      </c>
    </row>
    <row r="426" ht="21.75" customHeight="1" s="314">
      <c r="A426" s="6">
        <f>IF(C426="","",772)</f>
        <v/>
      </c>
      <c r="B426" s="7" t="n">
        <v>46164</v>
      </c>
      <c r="C426" s="8" t="n"/>
      <c r="D426" s="9" t="n"/>
      <c r="E426" s="10" t="inlineStr">
        <is>
          <t>▼</t>
        </is>
      </c>
      <c r="F426" s="10" t="inlineStr">
        <is>
          <t>▼</t>
        </is>
      </c>
      <c r="G426" s="9" t="n"/>
      <c r="H426" s="10" t="inlineStr">
        <is>
          <t>▼</t>
        </is>
      </c>
      <c r="I426" s="11">
        <f>IF(C426="","",D426+IF(F426="Ambil Obat",IF(G426="",0,G426),0))</f>
        <v/>
      </c>
      <c r="J426" s="12">
        <f>$J$419</f>
        <v/>
      </c>
      <c r="K426" s="13" t="inlineStr">
        <is>
          <t>▼</t>
        </is>
      </c>
    </row>
    <row r="427" ht="21.75" customHeight="1" s="314">
      <c r="A427" s="32">
        <f>IF(C427="","",773)</f>
        <v/>
      </c>
      <c r="B427" s="7" t="n">
        <v>46164</v>
      </c>
      <c r="C427" s="14" t="n"/>
      <c r="D427" s="16" t="n"/>
      <c r="E427" s="15" t="inlineStr">
        <is>
          <t>▼</t>
        </is>
      </c>
      <c r="F427" s="15" t="inlineStr">
        <is>
          <t>▼</t>
        </is>
      </c>
      <c r="G427" s="16" t="n"/>
      <c r="H427" s="15" t="inlineStr">
        <is>
          <t>▼</t>
        </is>
      </c>
      <c r="I427" s="17">
        <f>IF(C427="","",D427+IF(F427="Ambil Obat",IF(G427="",0,G427),0))</f>
        <v/>
      </c>
      <c r="J427" s="12">
        <f>$J$419</f>
        <v/>
      </c>
      <c r="K427" s="18" t="inlineStr">
        <is>
          <t>▼</t>
        </is>
      </c>
    </row>
    <row r="428" ht="21.75" customHeight="1" s="314">
      <c r="A428" s="6">
        <f>IF(C428="","",774)</f>
        <v/>
      </c>
      <c r="B428" s="7" t="n">
        <v>46164</v>
      </c>
      <c r="C428" s="8" t="n"/>
      <c r="D428" s="9" t="n"/>
      <c r="E428" s="10" t="inlineStr">
        <is>
          <t>▼</t>
        </is>
      </c>
      <c r="F428" s="10" t="inlineStr">
        <is>
          <t>▼</t>
        </is>
      </c>
      <c r="G428" s="9" t="n"/>
      <c r="H428" s="10" t="inlineStr">
        <is>
          <t>▼</t>
        </is>
      </c>
      <c r="I428" s="11">
        <f>IF(C428="","",D428+IF(F428="Ambil Obat",IF(G428="",0,G428),0))</f>
        <v/>
      </c>
      <c r="J428" s="12">
        <f>$J$419</f>
        <v/>
      </c>
      <c r="K428" s="13" t="inlineStr">
        <is>
          <t>▼</t>
        </is>
      </c>
    </row>
    <row r="429" ht="21.75" customHeight="1" s="314">
      <c r="A429" s="32">
        <f>IF(C429="","",775)</f>
        <v/>
      </c>
      <c r="B429" s="7" t="n">
        <v>46164</v>
      </c>
      <c r="C429" s="14" t="n"/>
      <c r="D429" s="16" t="n"/>
      <c r="E429" s="15" t="inlineStr">
        <is>
          <t>▼</t>
        </is>
      </c>
      <c r="F429" s="15" t="inlineStr">
        <is>
          <t>▼</t>
        </is>
      </c>
      <c r="G429" s="16" t="n"/>
      <c r="H429" s="15" t="inlineStr">
        <is>
          <t>▼</t>
        </is>
      </c>
      <c r="I429" s="17">
        <f>IF(C429="","",D429+IF(F429="Ambil Obat",IF(G429="",0,G429),0))</f>
        <v/>
      </c>
      <c r="J429" s="12">
        <f>$J$419</f>
        <v/>
      </c>
      <c r="K429" s="18" t="inlineStr">
        <is>
          <t>▼</t>
        </is>
      </c>
    </row>
    <row r="430" ht="21.75" customHeight="1" s="314">
      <c r="A430" s="6">
        <f>IF(C430="","",776)</f>
        <v/>
      </c>
      <c r="B430" s="7" t="n">
        <v>46164</v>
      </c>
      <c r="C430" s="8" t="n"/>
      <c r="D430" s="9" t="n"/>
      <c r="E430" s="10" t="inlineStr">
        <is>
          <t>▼</t>
        </is>
      </c>
      <c r="F430" s="10" t="inlineStr">
        <is>
          <t>▼</t>
        </is>
      </c>
      <c r="G430" s="9" t="n"/>
      <c r="H430" s="10" t="inlineStr">
        <is>
          <t>▼</t>
        </is>
      </c>
      <c r="I430" s="11">
        <f>IF(C430="","",D430+IF(F430="Ambil Obat",IF(G430="",0,G430),0))</f>
        <v/>
      </c>
      <c r="J430" s="12">
        <f>$J$419</f>
        <v/>
      </c>
      <c r="K430" s="13" t="inlineStr">
        <is>
          <t>▼</t>
        </is>
      </c>
    </row>
    <row r="431" ht="21.75" customHeight="1" s="314">
      <c r="A431" s="32">
        <f>IF(C431="","",777)</f>
        <v/>
      </c>
      <c r="B431" s="7" t="n">
        <v>46164</v>
      </c>
      <c r="C431" s="14" t="n"/>
      <c r="D431" s="16" t="n"/>
      <c r="E431" s="15" t="inlineStr">
        <is>
          <t>▼</t>
        </is>
      </c>
      <c r="F431" s="15" t="inlineStr">
        <is>
          <t>▼</t>
        </is>
      </c>
      <c r="G431" s="16" t="n"/>
      <c r="H431" s="15" t="inlineStr">
        <is>
          <t>▼</t>
        </is>
      </c>
      <c r="I431" s="17">
        <f>IF(C431="","",D431+IF(F431="Ambil Obat",IF(G431="",0,G431),0))</f>
        <v/>
      </c>
      <c r="J431" s="12">
        <f>$J$419</f>
        <v/>
      </c>
      <c r="K431" s="18" t="inlineStr">
        <is>
          <t>▼</t>
        </is>
      </c>
    </row>
    <row r="432" ht="21.75" customHeight="1" s="314">
      <c r="A432" s="6">
        <f>IF(C432="","",778)</f>
        <v/>
      </c>
      <c r="B432" s="7" t="n">
        <v>46164</v>
      </c>
      <c r="C432" s="8" t="n"/>
      <c r="D432" s="9" t="n"/>
      <c r="E432" s="10" t="inlineStr">
        <is>
          <t>▼</t>
        </is>
      </c>
      <c r="F432" s="10" t="inlineStr">
        <is>
          <t>▼</t>
        </is>
      </c>
      <c r="G432" s="9" t="n"/>
      <c r="H432" s="10" t="inlineStr">
        <is>
          <t>▼</t>
        </is>
      </c>
      <c r="I432" s="11">
        <f>IF(C432="","",D432+IF(F432="Ambil Obat",IF(G432="",0,G432),0))</f>
        <v/>
      </c>
      <c r="J432" s="12">
        <f>$J$419</f>
        <v/>
      </c>
      <c r="K432" s="13" t="inlineStr">
        <is>
          <t>▼</t>
        </is>
      </c>
    </row>
    <row r="433" ht="21.75" customHeight="1" s="314">
      <c r="A433" s="32">
        <f>IF(C433="","",779)</f>
        <v/>
      </c>
      <c r="B433" s="7" t="n">
        <v>46164</v>
      </c>
      <c r="C433" s="14" t="n"/>
      <c r="D433" s="16" t="n"/>
      <c r="E433" s="15" t="inlineStr">
        <is>
          <t>▼</t>
        </is>
      </c>
      <c r="F433" s="15" t="inlineStr">
        <is>
          <t>▼</t>
        </is>
      </c>
      <c r="G433" s="16" t="n"/>
      <c r="H433" s="15" t="inlineStr">
        <is>
          <t>▼</t>
        </is>
      </c>
      <c r="I433" s="17">
        <f>IF(C433="","",D433+IF(F433="Ambil Obat",IF(G433="",0,G433),0))</f>
        <v/>
      </c>
      <c r="J433" s="12">
        <f>$J$419</f>
        <v/>
      </c>
      <c r="K433" s="18" t="inlineStr">
        <is>
          <t>▼</t>
        </is>
      </c>
    </row>
    <row r="434" ht="21.75" customHeight="1" s="314">
      <c r="A434" s="6">
        <f>IF(C434="","",780)</f>
        <v/>
      </c>
      <c r="B434" s="7" t="n">
        <v>46164</v>
      </c>
      <c r="C434" s="8" t="n"/>
      <c r="D434" s="9" t="n"/>
      <c r="E434" s="10" t="inlineStr">
        <is>
          <t>▼</t>
        </is>
      </c>
      <c r="F434" s="10" t="inlineStr">
        <is>
          <t>▼</t>
        </is>
      </c>
      <c r="G434" s="9" t="n"/>
      <c r="H434" s="10" t="inlineStr">
        <is>
          <t>▼</t>
        </is>
      </c>
      <c r="I434" s="11">
        <f>IF(C434="","",D434+IF(F434="Ambil Obat",IF(G434="",0,G434),0))</f>
        <v/>
      </c>
      <c r="J434" s="12">
        <f>$J$419</f>
        <v/>
      </c>
      <c r="K434" s="13" t="inlineStr">
        <is>
          <t>▼</t>
        </is>
      </c>
    </row>
    <row r="435" ht="24" customHeight="1" s="314">
      <c r="A435" s="248">
        <f>IF(COUNTA(C420:C434)=0,"— belum ada data —","📊 Sub-total  "&amp; TEXT(B420,"DD MMM YYYY") &amp;"  ("&amp;COUNTA(C420:C434)&amp;" pasien)")</f>
        <v/>
      </c>
      <c r="B435" s="316" t="n"/>
      <c r="C435" s="316" t="n"/>
      <c r="D435" s="19">
        <f>IF(COUNTA(C420:C434)=0,"",SUM(D420:D434))</f>
        <v/>
      </c>
      <c r="E435" s="20">
        <f>IF(COUNTA(C420:C434)=0,"",SUMIF(E420:E434,"Cash",D420:D434))</f>
        <v/>
      </c>
      <c r="F435" s="21">
        <f>IF(COUNTA(C420:C434)=0,"",SUMIF(E420:E434,"Transfer Bank",D420:D434))</f>
        <v/>
      </c>
      <c r="G435" s="19">
        <f>IF(COUNTA(C420:C434)=0,"",SUMIF(F420:F434,"Ambil Obat",G420:G434))</f>
        <v/>
      </c>
      <c r="H435" s="20">
        <f>IF(COUNTA(C420:C434)=0,"",SUMIFS(G420:G434,H420:H434,"Cash",F420:F434,"Ambil Obat"))</f>
        <v/>
      </c>
      <c r="I435" s="21">
        <f>IF(COUNTA(C420:C434)=0,"",SUMIFS(G420:G434,H420:H434,"Transfer Bank",F420:F434,"Ambil Obat"))</f>
        <v/>
      </c>
      <c r="J435" s="22" t="n"/>
      <c r="K435" s="23">
        <f>IF(COUNTA(C420:C434)=0,"",D435+G435)</f>
        <v/>
      </c>
    </row>
    <row r="436" ht="24" customHeight="1" s="314">
      <c r="A436" s="249" t="inlineStr">
        <is>
          <t>📅  Sabtu, 23 Mei 2026</t>
        </is>
      </c>
      <c r="B436" s="5" t="n"/>
      <c r="C436" s="5" t="n"/>
      <c r="D436" s="5" t="n"/>
      <c r="E436" s="5" t="n"/>
      <c r="F436" s="5" t="n"/>
      <c r="G436" s="5" t="n"/>
      <c r="H436" s="5" t="n"/>
      <c r="I436" s="5" t="n"/>
      <c r="J436" s="4" t="inlineStr">
        <is>
          <t>dr. HAWA</t>
        </is>
      </c>
      <c r="K436" s="5" t="n"/>
    </row>
    <row r="437" ht="21.75" customHeight="1" s="314">
      <c r="A437" s="6">
        <f>IF(C437="","",781)</f>
        <v/>
      </c>
      <c r="B437" s="7" t="n">
        <v>46165</v>
      </c>
      <c r="C437" s="8" t="n"/>
      <c r="D437" s="9" t="n"/>
      <c r="E437" s="10" t="inlineStr">
        <is>
          <t>▼</t>
        </is>
      </c>
      <c r="F437" s="10" t="inlineStr">
        <is>
          <t>▼</t>
        </is>
      </c>
      <c r="G437" s="9" t="n"/>
      <c r="H437" s="10" t="inlineStr">
        <is>
          <t>▼</t>
        </is>
      </c>
      <c r="I437" s="11">
        <f>IF(C437="","",D437+IF(F437="Ambil Obat",IF(G437="",0,G437),0))</f>
        <v/>
      </c>
      <c r="J437" s="12">
        <f>$J$436</f>
        <v/>
      </c>
      <c r="K437" s="13" t="inlineStr">
        <is>
          <t>▼</t>
        </is>
      </c>
    </row>
    <row r="438" ht="21.75" customHeight="1" s="314">
      <c r="A438" s="32">
        <f>IF(C438="","",782)</f>
        <v/>
      </c>
      <c r="B438" s="7" t="n">
        <v>46165</v>
      </c>
      <c r="C438" s="14" t="n"/>
      <c r="D438" s="16" t="n"/>
      <c r="E438" s="15" t="inlineStr">
        <is>
          <t>▼</t>
        </is>
      </c>
      <c r="F438" s="15" t="inlineStr">
        <is>
          <t>▼</t>
        </is>
      </c>
      <c r="G438" s="16" t="n"/>
      <c r="H438" s="15" t="inlineStr">
        <is>
          <t>▼</t>
        </is>
      </c>
      <c r="I438" s="17">
        <f>IF(C438="","",D438+IF(F438="Ambil Obat",IF(G438="",0,G438),0))</f>
        <v/>
      </c>
      <c r="J438" s="12">
        <f>$J$436</f>
        <v/>
      </c>
      <c r="K438" s="18" t="inlineStr">
        <is>
          <t>▼</t>
        </is>
      </c>
    </row>
    <row r="439" ht="21.75" customHeight="1" s="314">
      <c r="A439" s="6">
        <f>IF(C439="","",783)</f>
        <v/>
      </c>
      <c r="B439" s="7" t="n">
        <v>46165</v>
      </c>
      <c r="C439" s="8" t="n"/>
      <c r="D439" s="9" t="n"/>
      <c r="E439" s="10" t="inlineStr">
        <is>
          <t>▼</t>
        </is>
      </c>
      <c r="F439" s="10" t="inlineStr">
        <is>
          <t>▼</t>
        </is>
      </c>
      <c r="G439" s="9" t="n"/>
      <c r="H439" s="10" t="inlineStr">
        <is>
          <t>▼</t>
        </is>
      </c>
      <c r="I439" s="11">
        <f>IF(C439="","",D439+IF(F439="Ambil Obat",IF(G439="",0,G439),0))</f>
        <v/>
      </c>
      <c r="J439" s="12">
        <f>$J$436</f>
        <v/>
      </c>
      <c r="K439" s="13" t="inlineStr">
        <is>
          <t>▼</t>
        </is>
      </c>
    </row>
    <row r="440" ht="21.75" customHeight="1" s="314">
      <c r="A440" s="32">
        <f>IF(C440="","",784)</f>
        <v/>
      </c>
      <c r="B440" s="7" t="n">
        <v>46165</v>
      </c>
      <c r="C440" s="14" t="n"/>
      <c r="D440" s="16" t="n"/>
      <c r="E440" s="15" t="inlineStr">
        <is>
          <t>▼</t>
        </is>
      </c>
      <c r="F440" s="15" t="inlineStr">
        <is>
          <t>▼</t>
        </is>
      </c>
      <c r="G440" s="16" t="n"/>
      <c r="H440" s="15" t="inlineStr">
        <is>
          <t>▼</t>
        </is>
      </c>
      <c r="I440" s="17">
        <f>IF(C440="","",D440+IF(F440="Ambil Obat",IF(G440="",0,G440),0))</f>
        <v/>
      </c>
      <c r="J440" s="12">
        <f>$J$436</f>
        <v/>
      </c>
      <c r="K440" s="18" t="inlineStr">
        <is>
          <t>▼</t>
        </is>
      </c>
    </row>
    <row r="441" ht="21.75" customHeight="1" s="314">
      <c r="A441" s="6">
        <f>IF(C441="","",785)</f>
        <v/>
      </c>
      <c r="B441" s="7" t="n">
        <v>46165</v>
      </c>
      <c r="C441" s="8" t="n"/>
      <c r="D441" s="9" t="n"/>
      <c r="E441" s="10" t="inlineStr">
        <is>
          <t>▼</t>
        </is>
      </c>
      <c r="F441" s="10" t="inlineStr">
        <is>
          <t>▼</t>
        </is>
      </c>
      <c r="G441" s="9" t="n"/>
      <c r="H441" s="10" t="inlineStr">
        <is>
          <t>▼</t>
        </is>
      </c>
      <c r="I441" s="11">
        <f>IF(C441="","",D441+IF(F441="Ambil Obat",IF(G441="",0,G441),0))</f>
        <v/>
      </c>
      <c r="J441" s="12">
        <f>$J$436</f>
        <v/>
      </c>
      <c r="K441" s="13" t="inlineStr">
        <is>
          <t>▼</t>
        </is>
      </c>
    </row>
    <row r="442" ht="21.75" customHeight="1" s="314">
      <c r="A442" s="32">
        <f>IF(C442="","",786)</f>
        <v/>
      </c>
      <c r="B442" s="7" t="n">
        <v>46165</v>
      </c>
      <c r="C442" s="14" t="n"/>
      <c r="D442" s="16" t="n"/>
      <c r="E442" s="15" t="inlineStr">
        <is>
          <t>▼</t>
        </is>
      </c>
      <c r="F442" s="15" t="inlineStr">
        <is>
          <t>▼</t>
        </is>
      </c>
      <c r="G442" s="16" t="n"/>
      <c r="H442" s="15" t="inlineStr">
        <is>
          <t>▼</t>
        </is>
      </c>
      <c r="I442" s="17">
        <f>IF(C442="","",D442+IF(F442="Ambil Obat",IF(G442="",0,G442),0))</f>
        <v/>
      </c>
      <c r="J442" s="12">
        <f>$J$436</f>
        <v/>
      </c>
      <c r="K442" s="18" t="inlineStr">
        <is>
          <t>▼</t>
        </is>
      </c>
    </row>
    <row r="443" ht="21.75" customHeight="1" s="314">
      <c r="A443" s="6">
        <f>IF(C443="","",787)</f>
        <v/>
      </c>
      <c r="B443" s="7" t="n">
        <v>46165</v>
      </c>
      <c r="C443" s="8" t="n"/>
      <c r="D443" s="9" t="n"/>
      <c r="E443" s="10" t="inlineStr">
        <is>
          <t>▼</t>
        </is>
      </c>
      <c r="F443" s="10" t="inlineStr">
        <is>
          <t>▼</t>
        </is>
      </c>
      <c r="G443" s="9" t="n"/>
      <c r="H443" s="10" t="inlineStr">
        <is>
          <t>▼</t>
        </is>
      </c>
      <c r="I443" s="11">
        <f>IF(C443="","",D443+IF(F443="Ambil Obat",IF(G443="",0,G443),0))</f>
        <v/>
      </c>
      <c r="J443" s="12">
        <f>$J$436</f>
        <v/>
      </c>
      <c r="K443" s="13" t="inlineStr">
        <is>
          <t>▼</t>
        </is>
      </c>
    </row>
    <row r="444" ht="21.75" customHeight="1" s="314">
      <c r="A444" s="32">
        <f>IF(C444="","",788)</f>
        <v/>
      </c>
      <c r="B444" s="7" t="n">
        <v>46165</v>
      </c>
      <c r="C444" s="14" t="n"/>
      <c r="D444" s="16" t="n"/>
      <c r="E444" s="15" t="inlineStr">
        <is>
          <t>▼</t>
        </is>
      </c>
      <c r="F444" s="15" t="inlineStr">
        <is>
          <t>▼</t>
        </is>
      </c>
      <c r="G444" s="16" t="n"/>
      <c r="H444" s="15" t="inlineStr">
        <is>
          <t>▼</t>
        </is>
      </c>
      <c r="I444" s="17">
        <f>IF(C444="","",D444+IF(F444="Ambil Obat",IF(G444="",0,G444),0))</f>
        <v/>
      </c>
      <c r="J444" s="12">
        <f>$J$436</f>
        <v/>
      </c>
      <c r="K444" s="18" t="inlineStr">
        <is>
          <t>▼</t>
        </is>
      </c>
    </row>
    <row r="445" ht="21.75" customHeight="1" s="314">
      <c r="A445" s="6">
        <f>IF(C445="","",789)</f>
        <v/>
      </c>
      <c r="B445" s="7" t="n">
        <v>46165</v>
      </c>
      <c r="C445" s="8" t="n"/>
      <c r="D445" s="9" t="n"/>
      <c r="E445" s="10" t="inlineStr">
        <is>
          <t>▼</t>
        </is>
      </c>
      <c r="F445" s="10" t="inlineStr">
        <is>
          <t>▼</t>
        </is>
      </c>
      <c r="G445" s="9" t="n"/>
      <c r="H445" s="10" t="inlineStr">
        <is>
          <t>▼</t>
        </is>
      </c>
      <c r="I445" s="11">
        <f>IF(C445="","",D445+IF(F445="Ambil Obat",IF(G445="",0,G445),0))</f>
        <v/>
      </c>
      <c r="J445" s="12">
        <f>$J$436</f>
        <v/>
      </c>
      <c r="K445" s="13" t="inlineStr">
        <is>
          <t>▼</t>
        </is>
      </c>
    </row>
    <row r="446" ht="21.75" customHeight="1" s="314">
      <c r="A446" s="32">
        <f>IF(C446="","",790)</f>
        <v/>
      </c>
      <c r="B446" s="7" t="n">
        <v>46165</v>
      </c>
      <c r="C446" s="14" t="n"/>
      <c r="D446" s="16" t="n"/>
      <c r="E446" s="15" t="inlineStr">
        <is>
          <t>▼</t>
        </is>
      </c>
      <c r="F446" s="15" t="inlineStr">
        <is>
          <t>▼</t>
        </is>
      </c>
      <c r="G446" s="16" t="n"/>
      <c r="H446" s="15" t="inlineStr">
        <is>
          <t>▼</t>
        </is>
      </c>
      <c r="I446" s="17">
        <f>IF(C446="","",D446+IF(F446="Ambil Obat",IF(G446="",0,G446),0))</f>
        <v/>
      </c>
      <c r="J446" s="12">
        <f>$J$436</f>
        <v/>
      </c>
      <c r="K446" s="18" t="inlineStr">
        <is>
          <t>▼</t>
        </is>
      </c>
    </row>
    <row r="447" ht="21.75" customHeight="1" s="314">
      <c r="A447" s="6">
        <f>IF(C447="","",791)</f>
        <v/>
      </c>
      <c r="B447" s="7" t="n">
        <v>46165</v>
      </c>
      <c r="C447" s="8" t="n"/>
      <c r="D447" s="9" t="n"/>
      <c r="E447" s="10" t="inlineStr">
        <is>
          <t>▼</t>
        </is>
      </c>
      <c r="F447" s="10" t="inlineStr">
        <is>
          <t>▼</t>
        </is>
      </c>
      <c r="G447" s="9" t="n"/>
      <c r="H447" s="10" t="inlineStr">
        <is>
          <t>▼</t>
        </is>
      </c>
      <c r="I447" s="11">
        <f>IF(C447="","",D447+IF(F447="Ambil Obat",IF(G447="",0,G447),0))</f>
        <v/>
      </c>
      <c r="J447" s="12">
        <f>$J$436</f>
        <v/>
      </c>
      <c r="K447" s="13" t="inlineStr">
        <is>
          <t>▼</t>
        </is>
      </c>
    </row>
    <row r="448" ht="21.75" customHeight="1" s="314">
      <c r="A448" s="32">
        <f>IF(C448="","",792)</f>
        <v/>
      </c>
      <c r="B448" s="7" t="n">
        <v>46165</v>
      </c>
      <c r="C448" s="14" t="n"/>
      <c r="D448" s="16" t="n"/>
      <c r="E448" s="15" t="inlineStr">
        <is>
          <t>▼</t>
        </is>
      </c>
      <c r="F448" s="15" t="inlineStr">
        <is>
          <t>▼</t>
        </is>
      </c>
      <c r="G448" s="16" t="n"/>
      <c r="H448" s="15" t="inlineStr">
        <is>
          <t>▼</t>
        </is>
      </c>
      <c r="I448" s="17">
        <f>IF(C448="","",D448+IF(F448="Ambil Obat",IF(G448="",0,G448),0))</f>
        <v/>
      </c>
      <c r="J448" s="12">
        <f>$J$436</f>
        <v/>
      </c>
      <c r="K448" s="18" t="inlineStr">
        <is>
          <t>▼</t>
        </is>
      </c>
    </row>
    <row r="449" ht="21.75" customHeight="1" s="314">
      <c r="A449" s="6">
        <f>IF(C449="","",793)</f>
        <v/>
      </c>
      <c r="B449" s="7" t="n">
        <v>46165</v>
      </c>
      <c r="C449" s="8" t="n"/>
      <c r="D449" s="9" t="n"/>
      <c r="E449" s="10" t="inlineStr">
        <is>
          <t>▼</t>
        </is>
      </c>
      <c r="F449" s="10" t="inlineStr">
        <is>
          <t>▼</t>
        </is>
      </c>
      <c r="G449" s="9" t="n"/>
      <c r="H449" s="10" t="inlineStr">
        <is>
          <t>▼</t>
        </is>
      </c>
      <c r="I449" s="11">
        <f>IF(C449="","",D449+IF(F449="Ambil Obat",IF(G449="",0,G449),0))</f>
        <v/>
      </c>
      <c r="J449" s="12">
        <f>$J$436</f>
        <v/>
      </c>
      <c r="K449" s="13" t="inlineStr">
        <is>
          <t>▼</t>
        </is>
      </c>
    </row>
    <row r="450" ht="21.75" customHeight="1" s="314">
      <c r="A450" s="32">
        <f>IF(C450="","",794)</f>
        <v/>
      </c>
      <c r="B450" s="7" t="n">
        <v>46165</v>
      </c>
      <c r="C450" s="14" t="n"/>
      <c r="D450" s="16" t="n"/>
      <c r="E450" s="15" t="inlineStr">
        <is>
          <t>▼</t>
        </is>
      </c>
      <c r="F450" s="15" t="inlineStr">
        <is>
          <t>▼</t>
        </is>
      </c>
      <c r="G450" s="16" t="n"/>
      <c r="H450" s="15" t="inlineStr">
        <is>
          <t>▼</t>
        </is>
      </c>
      <c r="I450" s="17">
        <f>IF(C450="","",D450+IF(F450="Ambil Obat",IF(G450="",0,G450),0))</f>
        <v/>
      </c>
      <c r="J450" s="12">
        <f>$J$436</f>
        <v/>
      </c>
      <c r="K450" s="18" t="inlineStr">
        <is>
          <t>▼</t>
        </is>
      </c>
    </row>
    <row r="451" ht="21.75" customHeight="1" s="314">
      <c r="A451" s="6">
        <f>IF(C451="","",795)</f>
        <v/>
      </c>
      <c r="B451" s="7" t="n">
        <v>46165</v>
      </c>
      <c r="C451" s="8" t="n"/>
      <c r="D451" s="9" t="n"/>
      <c r="E451" s="10" t="inlineStr">
        <is>
          <t>▼</t>
        </is>
      </c>
      <c r="F451" s="10" t="inlineStr">
        <is>
          <t>▼</t>
        </is>
      </c>
      <c r="G451" s="9" t="n"/>
      <c r="H451" s="10" t="inlineStr">
        <is>
          <t>▼</t>
        </is>
      </c>
      <c r="I451" s="11">
        <f>IF(C451="","",D451+IF(F451="Ambil Obat",IF(G451="",0,G451),0))</f>
        <v/>
      </c>
      <c r="J451" s="12">
        <f>$J$436</f>
        <v/>
      </c>
      <c r="K451" s="13" t="inlineStr">
        <is>
          <t>▼</t>
        </is>
      </c>
    </row>
    <row r="452" ht="24" customHeight="1" s="314">
      <c r="A452" s="248">
        <f>IF(COUNTA(C437:C451)=0,"— belum ada data —","📊 Sub-total  "&amp; TEXT(B437,"DD MMM YYYY") &amp;"  ("&amp;COUNTA(C437:C451)&amp;" pasien)")</f>
        <v/>
      </c>
      <c r="B452" s="316" t="n"/>
      <c r="C452" s="316" t="n"/>
      <c r="D452" s="19">
        <f>IF(COUNTA(C437:C451)=0,"",SUM(D437:D451))</f>
        <v/>
      </c>
      <c r="E452" s="20">
        <f>IF(COUNTA(C437:C451)=0,"",SUMIF(E437:E451,"Cash",D437:D451))</f>
        <v/>
      </c>
      <c r="F452" s="21">
        <f>IF(COUNTA(C437:C451)=0,"",SUMIF(E437:E451,"Transfer Bank",D437:D451))</f>
        <v/>
      </c>
      <c r="G452" s="19">
        <f>IF(COUNTA(C437:C451)=0,"",SUMIF(F437:F451,"Ambil Obat",G437:G451))</f>
        <v/>
      </c>
      <c r="H452" s="20">
        <f>IF(COUNTA(C437:C451)=0,"",SUMIFS(G437:G451,H437:H451,"Cash",F437:F451,"Ambil Obat"))</f>
        <v/>
      </c>
      <c r="I452" s="21">
        <f>IF(COUNTA(C437:C451)=0,"",SUMIFS(G437:G451,H437:H451,"Transfer Bank",F437:F451,"Ambil Obat"))</f>
        <v/>
      </c>
      <c r="J452" s="22" t="n"/>
      <c r="K452" s="23">
        <f>IF(COUNTA(C437:C451)=0,"",D452+G452)</f>
        <v/>
      </c>
    </row>
    <row r="453" ht="24" customHeight="1" s="314">
      <c r="A453" s="249" t="inlineStr">
        <is>
          <t>📅  Minggu, 24 Mei 2026</t>
        </is>
      </c>
      <c r="B453" s="5" t="n"/>
      <c r="C453" s="5" t="n"/>
      <c r="D453" s="5" t="n"/>
      <c r="E453" s="5" t="n"/>
      <c r="F453" s="5" t="n"/>
      <c r="G453" s="5" t="n"/>
      <c r="H453" s="5" t="n"/>
      <c r="I453" s="5" t="n"/>
      <c r="J453" s="4" t="inlineStr">
        <is>
          <t>dr. HAWA</t>
        </is>
      </c>
      <c r="K453" s="5" t="n"/>
    </row>
    <row r="454" ht="21.75" customHeight="1" s="314">
      <c r="A454" s="6">
        <f>IF(C454="","",796)</f>
        <v/>
      </c>
      <c r="B454" s="7" t="n">
        <v>46166</v>
      </c>
      <c r="C454" s="8" t="n"/>
      <c r="D454" s="9" t="n"/>
      <c r="E454" s="10" t="inlineStr">
        <is>
          <t>▼</t>
        </is>
      </c>
      <c r="F454" s="10" t="inlineStr">
        <is>
          <t>▼</t>
        </is>
      </c>
      <c r="G454" s="9" t="n"/>
      <c r="H454" s="10" t="inlineStr">
        <is>
          <t>▼</t>
        </is>
      </c>
      <c r="I454" s="11">
        <f>IF(C454="","",D454+IF(F454="Ambil Obat",IF(G454="",0,G454),0))</f>
        <v/>
      </c>
      <c r="J454" s="12">
        <f>$J$453</f>
        <v/>
      </c>
      <c r="K454" s="13" t="inlineStr">
        <is>
          <t>▼</t>
        </is>
      </c>
    </row>
    <row r="455" ht="21.75" customHeight="1" s="314">
      <c r="A455" s="32">
        <f>IF(C455="","",797)</f>
        <v/>
      </c>
      <c r="B455" s="7" t="n">
        <v>46166</v>
      </c>
      <c r="C455" s="14" t="n"/>
      <c r="D455" s="16" t="n"/>
      <c r="E455" s="15" t="inlineStr">
        <is>
          <t>▼</t>
        </is>
      </c>
      <c r="F455" s="15" t="inlineStr">
        <is>
          <t>▼</t>
        </is>
      </c>
      <c r="G455" s="16" t="n"/>
      <c r="H455" s="15" t="inlineStr">
        <is>
          <t>▼</t>
        </is>
      </c>
      <c r="I455" s="17">
        <f>IF(C455="","",D455+IF(F455="Ambil Obat",IF(G455="",0,G455),0))</f>
        <v/>
      </c>
      <c r="J455" s="12">
        <f>$J$453</f>
        <v/>
      </c>
      <c r="K455" s="18" t="inlineStr">
        <is>
          <t>▼</t>
        </is>
      </c>
    </row>
    <row r="456" ht="21.75" customHeight="1" s="314">
      <c r="A456" s="6">
        <f>IF(C456="","",798)</f>
        <v/>
      </c>
      <c r="B456" s="7" t="n">
        <v>46166</v>
      </c>
      <c r="C456" s="8" t="n"/>
      <c r="D456" s="9" t="n"/>
      <c r="E456" s="10" t="inlineStr">
        <is>
          <t>▼</t>
        </is>
      </c>
      <c r="F456" s="10" t="inlineStr">
        <is>
          <t>▼</t>
        </is>
      </c>
      <c r="G456" s="9" t="n"/>
      <c r="H456" s="10" t="inlineStr">
        <is>
          <t>▼</t>
        </is>
      </c>
      <c r="I456" s="11">
        <f>IF(C456="","",D456+IF(F456="Ambil Obat",IF(G456="",0,G456),0))</f>
        <v/>
      </c>
      <c r="J456" s="12">
        <f>$J$453</f>
        <v/>
      </c>
      <c r="K456" s="13" t="inlineStr">
        <is>
          <t>▼</t>
        </is>
      </c>
    </row>
    <row r="457" ht="21.75" customHeight="1" s="314">
      <c r="A457" s="32">
        <f>IF(C457="","",799)</f>
        <v/>
      </c>
      <c r="B457" s="7" t="n">
        <v>46166</v>
      </c>
      <c r="C457" s="14" t="n"/>
      <c r="D457" s="16" t="n"/>
      <c r="E457" s="15" t="inlineStr">
        <is>
          <t>▼</t>
        </is>
      </c>
      <c r="F457" s="15" t="inlineStr">
        <is>
          <t>▼</t>
        </is>
      </c>
      <c r="G457" s="16" t="n"/>
      <c r="H457" s="15" t="inlineStr">
        <is>
          <t>▼</t>
        </is>
      </c>
      <c r="I457" s="17">
        <f>IF(C457="","",D457+IF(F457="Ambil Obat",IF(G457="",0,G457),0))</f>
        <v/>
      </c>
      <c r="J457" s="12">
        <f>$J$453</f>
        <v/>
      </c>
      <c r="K457" s="18" t="inlineStr">
        <is>
          <t>▼</t>
        </is>
      </c>
    </row>
    <row r="458" ht="21.75" customHeight="1" s="314">
      <c r="A458" s="6">
        <f>IF(C458="","",800)</f>
        <v/>
      </c>
      <c r="B458" s="7" t="n">
        <v>46166</v>
      </c>
      <c r="C458" s="8" t="n"/>
      <c r="D458" s="9" t="n"/>
      <c r="E458" s="10" t="inlineStr">
        <is>
          <t>▼</t>
        </is>
      </c>
      <c r="F458" s="10" t="inlineStr">
        <is>
          <t>▼</t>
        </is>
      </c>
      <c r="G458" s="9" t="n"/>
      <c r="H458" s="10" t="inlineStr">
        <is>
          <t>▼</t>
        </is>
      </c>
      <c r="I458" s="11">
        <f>IF(C458="","",D458+IF(F458="Ambil Obat",IF(G458="",0,G458),0))</f>
        <v/>
      </c>
      <c r="J458" s="12">
        <f>$J$453</f>
        <v/>
      </c>
      <c r="K458" s="13" t="inlineStr">
        <is>
          <t>▼</t>
        </is>
      </c>
    </row>
    <row r="459" ht="21.75" customHeight="1" s="314">
      <c r="A459" s="32">
        <f>IF(C459="","",801)</f>
        <v/>
      </c>
      <c r="B459" s="7" t="n">
        <v>46166</v>
      </c>
      <c r="C459" s="14" t="n"/>
      <c r="D459" s="16" t="n"/>
      <c r="E459" s="15" t="inlineStr">
        <is>
          <t>▼</t>
        </is>
      </c>
      <c r="F459" s="15" t="inlineStr">
        <is>
          <t>▼</t>
        </is>
      </c>
      <c r="G459" s="16" t="n"/>
      <c r="H459" s="15" t="inlineStr">
        <is>
          <t>▼</t>
        </is>
      </c>
      <c r="I459" s="17">
        <f>IF(C459="","",D459+IF(F459="Ambil Obat",IF(G459="",0,G459),0))</f>
        <v/>
      </c>
      <c r="J459" s="12">
        <f>$J$453</f>
        <v/>
      </c>
      <c r="K459" s="18" t="inlineStr">
        <is>
          <t>▼</t>
        </is>
      </c>
    </row>
    <row r="460" ht="21.75" customHeight="1" s="314">
      <c r="A460" s="6">
        <f>IF(C460="","",802)</f>
        <v/>
      </c>
      <c r="B460" s="7" t="n">
        <v>46166</v>
      </c>
      <c r="C460" s="8" t="n"/>
      <c r="D460" s="9" t="n"/>
      <c r="E460" s="10" t="inlineStr">
        <is>
          <t>▼</t>
        </is>
      </c>
      <c r="F460" s="10" t="inlineStr">
        <is>
          <t>▼</t>
        </is>
      </c>
      <c r="G460" s="9" t="n"/>
      <c r="H460" s="10" t="inlineStr">
        <is>
          <t>▼</t>
        </is>
      </c>
      <c r="I460" s="11">
        <f>IF(C460="","",D460+IF(F460="Ambil Obat",IF(G460="",0,G460),0))</f>
        <v/>
      </c>
      <c r="J460" s="12">
        <f>$J$453</f>
        <v/>
      </c>
      <c r="K460" s="13" t="inlineStr">
        <is>
          <t>▼</t>
        </is>
      </c>
    </row>
    <row r="461" ht="21.75" customHeight="1" s="314">
      <c r="A461" s="32">
        <f>IF(C461="","",803)</f>
        <v/>
      </c>
      <c r="B461" s="7" t="n">
        <v>46166</v>
      </c>
      <c r="C461" s="14" t="n"/>
      <c r="D461" s="16" t="n"/>
      <c r="E461" s="15" t="inlineStr">
        <is>
          <t>▼</t>
        </is>
      </c>
      <c r="F461" s="15" t="inlineStr">
        <is>
          <t>▼</t>
        </is>
      </c>
      <c r="G461" s="16" t="n"/>
      <c r="H461" s="15" t="inlineStr">
        <is>
          <t>▼</t>
        </is>
      </c>
      <c r="I461" s="17">
        <f>IF(C461="","",D461+IF(F461="Ambil Obat",IF(G461="",0,G461),0))</f>
        <v/>
      </c>
      <c r="J461" s="12">
        <f>$J$453</f>
        <v/>
      </c>
      <c r="K461" s="18" t="inlineStr">
        <is>
          <t>▼</t>
        </is>
      </c>
    </row>
    <row r="462" ht="21.75" customHeight="1" s="314">
      <c r="A462" s="6">
        <f>IF(C462="","",804)</f>
        <v/>
      </c>
      <c r="B462" s="7" t="n">
        <v>46166</v>
      </c>
      <c r="C462" s="8" t="n"/>
      <c r="D462" s="9" t="n"/>
      <c r="E462" s="10" t="inlineStr">
        <is>
          <t>▼</t>
        </is>
      </c>
      <c r="F462" s="10" t="inlineStr">
        <is>
          <t>▼</t>
        </is>
      </c>
      <c r="G462" s="9" t="n"/>
      <c r="H462" s="10" t="inlineStr">
        <is>
          <t>▼</t>
        </is>
      </c>
      <c r="I462" s="11">
        <f>IF(C462="","",D462+IF(F462="Ambil Obat",IF(G462="",0,G462),0))</f>
        <v/>
      </c>
      <c r="J462" s="12">
        <f>$J$453</f>
        <v/>
      </c>
      <c r="K462" s="13" t="inlineStr">
        <is>
          <t>▼</t>
        </is>
      </c>
    </row>
    <row r="463" ht="21.75" customHeight="1" s="314">
      <c r="A463" s="32">
        <f>IF(C463="","",805)</f>
        <v/>
      </c>
      <c r="B463" s="7" t="n">
        <v>46166</v>
      </c>
      <c r="C463" s="14" t="n"/>
      <c r="D463" s="16" t="n"/>
      <c r="E463" s="15" t="inlineStr">
        <is>
          <t>▼</t>
        </is>
      </c>
      <c r="F463" s="15" t="inlineStr">
        <is>
          <t>▼</t>
        </is>
      </c>
      <c r="G463" s="16" t="n"/>
      <c r="H463" s="15" t="inlineStr">
        <is>
          <t>▼</t>
        </is>
      </c>
      <c r="I463" s="17">
        <f>IF(C463="","",D463+IF(F463="Ambil Obat",IF(G463="",0,G463),0))</f>
        <v/>
      </c>
      <c r="J463" s="12">
        <f>$J$453</f>
        <v/>
      </c>
      <c r="K463" s="18" t="inlineStr">
        <is>
          <t>▼</t>
        </is>
      </c>
    </row>
    <row r="464" ht="21.75" customHeight="1" s="314">
      <c r="A464" s="6">
        <f>IF(C464="","",806)</f>
        <v/>
      </c>
      <c r="B464" s="7" t="n">
        <v>46166</v>
      </c>
      <c r="C464" s="8" t="n"/>
      <c r="D464" s="9" t="n"/>
      <c r="E464" s="10" t="inlineStr">
        <is>
          <t>▼</t>
        </is>
      </c>
      <c r="F464" s="10" t="inlineStr">
        <is>
          <t>▼</t>
        </is>
      </c>
      <c r="G464" s="9" t="n"/>
      <c r="H464" s="10" t="inlineStr">
        <is>
          <t>▼</t>
        </is>
      </c>
      <c r="I464" s="11">
        <f>IF(C464="","",D464+IF(F464="Ambil Obat",IF(G464="",0,G464),0))</f>
        <v/>
      </c>
      <c r="J464" s="12">
        <f>$J$453</f>
        <v/>
      </c>
      <c r="K464" s="13" t="inlineStr">
        <is>
          <t>▼</t>
        </is>
      </c>
    </row>
    <row r="465" ht="21.75" customHeight="1" s="314">
      <c r="A465" s="32">
        <f>IF(C465="","",807)</f>
        <v/>
      </c>
      <c r="B465" s="7" t="n">
        <v>46166</v>
      </c>
      <c r="C465" s="14" t="n"/>
      <c r="D465" s="16" t="n"/>
      <c r="E465" s="15" t="inlineStr">
        <is>
          <t>▼</t>
        </is>
      </c>
      <c r="F465" s="15" t="inlineStr">
        <is>
          <t>▼</t>
        </is>
      </c>
      <c r="G465" s="16" t="n"/>
      <c r="H465" s="15" t="inlineStr">
        <is>
          <t>▼</t>
        </is>
      </c>
      <c r="I465" s="17">
        <f>IF(C465="","",D465+IF(F465="Ambil Obat",IF(G465="",0,G465),0))</f>
        <v/>
      </c>
      <c r="J465" s="12">
        <f>$J$453</f>
        <v/>
      </c>
      <c r="K465" s="18" t="inlineStr">
        <is>
          <t>▼</t>
        </is>
      </c>
    </row>
    <row r="466" ht="21.75" customHeight="1" s="314">
      <c r="A466" s="6">
        <f>IF(C466="","",808)</f>
        <v/>
      </c>
      <c r="B466" s="7" t="n">
        <v>46166</v>
      </c>
      <c r="C466" s="8" t="n"/>
      <c r="D466" s="9" t="n"/>
      <c r="E466" s="10" t="inlineStr">
        <is>
          <t>▼</t>
        </is>
      </c>
      <c r="F466" s="10" t="inlineStr">
        <is>
          <t>▼</t>
        </is>
      </c>
      <c r="G466" s="9" t="n"/>
      <c r="H466" s="10" t="inlineStr">
        <is>
          <t>▼</t>
        </is>
      </c>
      <c r="I466" s="11">
        <f>IF(C466="","",D466+IF(F466="Ambil Obat",IF(G466="",0,G466),0))</f>
        <v/>
      </c>
      <c r="J466" s="12">
        <f>$J$453</f>
        <v/>
      </c>
      <c r="K466" s="13" t="inlineStr">
        <is>
          <t>▼</t>
        </is>
      </c>
    </row>
    <row r="467" ht="21.75" customHeight="1" s="314">
      <c r="A467" s="32">
        <f>IF(C467="","",809)</f>
        <v/>
      </c>
      <c r="B467" s="7" t="n">
        <v>46166</v>
      </c>
      <c r="C467" s="14" t="n"/>
      <c r="D467" s="16" t="n"/>
      <c r="E467" s="15" t="inlineStr">
        <is>
          <t>▼</t>
        </is>
      </c>
      <c r="F467" s="15" t="inlineStr">
        <is>
          <t>▼</t>
        </is>
      </c>
      <c r="G467" s="16" t="n"/>
      <c r="H467" s="15" t="inlineStr">
        <is>
          <t>▼</t>
        </is>
      </c>
      <c r="I467" s="17">
        <f>IF(C467="","",D467+IF(F467="Ambil Obat",IF(G467="",0,G467),0))</f>
        <v/>
      </c>
      <c r="J467" s="12">
        <f>$J$453</f>
        <v/>
      </c>
      <c r="K467" s="18" t="inlineStr">
        <is>
          <t>▼</t>
        </is>
      </c>
    </row>
    <row r="468" ht="21.75" customHeight="1" s="314">
      <c r="A468" s="6">
        <f>IF(C468="","",810)</f>
        <v/>
      </c>
      <c r="B468" s="7" t="n">
        <v>46166</v>
      </c>
      <c r="C468" s="8" t="n"/>
      <c r="D468" s="9" t="n"/>
      <c r="E468" s="10" t="inlineStr">
        <is>
          <t>▼</t>
        </is>
      </c>
      <c r="F468" s="10" t="inlineStr">
        <is>
          <t>▼</t>
        </is>
      </c>
      <c r="G468" s="9" t="n"/>
      <c r="H468" s="10" t="inlineStr">
        <is>
          <t>▼</t>
        </is>
      </c>
      <c r="I468" s="11">
        <f>IF(C468="","",D468+IF(F468="Ambil Obat",IF(G468="",0,G468),0))</f>
        <v/>
      </c>
      <c r="J468" s="12">
        <f>$J$453</f>
        <v/>
      </c>
      <c r="K468" s="13" t="inlineStr">
        <is>
          <t>▼</t>
        </is>
      </c>
    </row>
    <row r="469" ht="24" customHeight="1" s="314">
      <c r="A469" s="248">
        <f>IF(COUNTA(C454:C468)=0,"— belum ada data —","📊 Sub-total  "&amp; TEXT(B454,"DD MMM YYYY") &amp;"  ("&amp;COUNTA(C454:C468)&amp;" pasien)")</f>
        <v/>
      </c>
      <c r="B469" s="316" t="n"/>
      <c r="C469" s="316" t="n"/>
      <c r="D469" s="19">
        <f>IF(COUNTA(C454:C468)=0,"",SUM(D454:D468))</f>
        <v/>
      </c>
      <c r="E469" s="20">
        <f>IF(COUNTA(C454:C468)=0,"",SUMIF(E454:E468,"Cash",D454:D468))</f>
        <v/>
      </c>
      <c r="F469" s="21">
        <f>IF(COUNTA(C454:C468)=0,"",SUMIF(E454:E468,"Transfer Bank",D454:D468))</f>
        <v/>
      </c>
      <c r="G469" s="19">
        <f>IF(COUNTA(C454:C468)=0,"",SUMIF(F454:F468,"Ambil Obat",G454:G468))</f>
        <v/>
      </c>
      <c r="H469" s="20">
        <f>IF(COUNTA(C454:C468)=0,"",SUMIFS(G454:G468,H454:H468,"Cash",F454:F468,"Ambil Obat"))</f>
        <v/>
      </c>
      <c r="I469" s="21">
        <f>IF(COUNTA(C454:C468)=0,"",SUMIFS(G454:G468,H454:H468,"Transfer Bank",F454:F468,"Ambil Obat"))</f>
        <v/>
      </c>
      <c r="J469" s="22" t="n"/>
      <c r="K469" s="23">
        <f>IF(COUNTA(C454:C468)=0,"",D469+G469)</f>
        <v/>
      </c>
    </row>
    <row r="470" ht="24" customHeight="1" s="314">
      <c r="A470" s="249" t="inlineStr">
        <is>
          <t>📅  Senin, 25 Mei 2026</t>
        </is>
      </c>
      <c r="B470" s="5" t="n"/>
      <c r="C470" s="5" t="n"/>
      <c r="D470" s="5" t="n"/>
      <c r="E470" s="5" t="n"/>
      <c r="F470" s="5" t="n"/>
      <c r="G470" s="5" t="n"/>
      <c r="H470" s="5" t="n"/>
      <c r="I470" s="5" t="n"/>
      <c r="J470" s="4" t="inlineStr">
        <is>
          <t>dr. JOJO</t>
        </is>
      </c>
      <c r="K470" s="5" t="n"/>
    </row>
    <row r="471" ht="21.75" customHeight="1" s="314">
      <c r="A471" s="6">
        <f>IF(C471="","",811)</f>
        <v/>
      </c>
      <c r="B471" s="7" t="n">
        <v>46167</v>
      </c>
      <c r="C471" s="8" t="n"/>
      <c r="D471" s="9" t="n"/>
      <c r="E471" s="10" t="inlineStr">
        <is>
          <t>▼</t>
        </is>
      </c>
      <c r="F471" s="10" t="inlineStr">
        <is>
          <t>▼</t>
        </is>
      </c>
      <c r="G471" s="9" t="n"/>
      <c r="H471" s="10" t="inlineStr">
        <is>
          <t>▼</t>
        </is>
      </c>
      <c r="I471" s="11">
        <f>IF(C471="","",D471+IF(F471="Ambil Obat",IF(G471="",0,G471),0))</f>
        <v/>
      </c>
      <c r="J471" s="12">
        <f>$J$470</f>
        <v/>
      </c>
      <c r="K471" s="13" t="inlineStr">
        <is>
          <t>▼</t>
        </is>
      </c>
    </row>
    <row r="472" ht="21.75" customHeight="1" s="314">
      <c r="A472" s="32">
        <f>IF(C472="","",812)</f>
        <v/>
      </c>
      <c r="B472" s="7" t="n">
        <v>46167</v>
      </c>
      <c r="C472" s="14" t="n"/>
      <c r="D472" s="16" t="n"/>
      <c r="E472" s="15" t="inlineStr">
        <is>
          <t>▼</t>
        </is>
      </c>
      <c r="F472" s="15" t="inlineStr">
        <is>
          <t>▼</t>
        </is>
      </c>
      <c r="G472" s="16" t="n"/>
      <c r="H472" s="15" t="inlineStr">
        <is>
          <t>▼</t>
        </is>
      </c>
      <c r="I472" s="17">
        <f>IF(C472="","",D472+IF(F472="Ambil Obat",IF(G472="",0,G472),0))</f>
        <v/>
      </c>
      <c r="J472" s="12">
        <f>$J$470</f>
        <v/>
      </c>
      <c r="K472" s="18" t="inlineStr">
        <is>
          <t>▼</t>
        </is>
      </c>
    </row>
    <row r="473" ht="21.75" customHeight="1" s="314">
      <c r="A473" s="6">
        <f>IF(C473="","",813)</f>
        <v/>
      </c>
      <c r="B473" s="7" t="n">
        <v>46167</v>
      </c>
      <c r="C473" s="8" t="n"/>
      <c r="D473" s="9" t="n"/>
      <c r="E473" s="10" t="inlineStr">
        <is>
          <t>▼</t>
        </is>
      </c>
      <c r="F473" s="10" t="inlineStr">
        <is>
          <t>▼</t>
        </is>
      </c>
      <c r="G473" s="9" t="n"/>
      <c r="H473" s="10" t="inlineStr">
        <is>
          <t>▼</t>
        </is>
      </c>
      <c r="I473" s="11">
        <f>IF(C473="","",D473+IF(F473="Ambil Obat",IF(G473="",0,G473),0))</f>
        <v/>
      </c>
      <c r="J473" s="12">
        <f>$J$470</f>
        <v/>
      </c>
      <c r="K473" s="13" t="inlineStr">
        <is>
          <t>▼</t>
        </is>
      </c>
    </row>
    <row r="474" ht="21.75" customHeight="1" s="314">
      <c r="A474" s="32">
        <f>IF(C474="","",814)</f>
        <v/>
      </c>
      <c r="B474" s="7" t="n">
        <v>46167</v>
      </c>
      <c r="C474" s="14" t="n"/>
      <c r="D474" s="16" t="n"/>
      <c r="E474" s="15" t="inlineStr">
        <is>
          <t>▼</t>
        </is>
      </c>
      <c r="F474" s="15" t="inlineStr">
        <is>
          <t>▼</t>
        </is>
      </c>
      <c r="G474" s="16" t="n"/>
      <c r="H474" s="15" t="inlineStr">
        <is>
          <t>▼</t>
        </is>
      </c>
      <c r="I474" s="17">
        <f>IF(C474="","",D474+IF(F474="Ambil Obat",IF(G474="",0,G474),0))</f>
        <v/>
      </c>
      <c r="J474" s="12">
        <f>$J$470</f>
        <v/>
      </c>
      <c r="K474" s="18" t="inlineStr">
        <is>
          <t>▼</t>
        </is>
      </c>
    </row>
    <row r="475" ht="21.75" customHeight="1" s="314">
      <c r="A475" s="6">
        <f>IF(C475="","",815)</f>
        <v/>
      </c>
      <c r="B475" s="7" t="n">
        <v>46167</v>
      </c>
      <c r="C475" s="8" t="n"/>
      <c r="D475" s="9" t="n"/>
      <c r="E475" s="10" t="inlineStr">
        <is>
          <t>▼</t>
        </is>
      </c>
      <c r="F475" s="10" t="inlineStr">
        <is>
          <t>▼</t>
        </is>
      </c>
      <c r="G475" s="9" t="n"/>
      <c r="H475" s="10" t="inlineStr">
        <is>
          <t>▼</t>
        </is>
      </c>
      <c r="I475" s="11">
        <f>IF(C475="","",D475+IF(F475="Ambil Obat",IF(G475="",0,G475),0))</f>
        <v/>
      </c>
      <c r="J475" s="12">
        <f>$J$470</f>
        <v/>
      </c>
      <c r="K475" s="13" t="inlineStr">
        <is>
          <t>▼</t>
        </is>
      </c>
    </row>
    <row r="476" ht="21.75" customHeight="1" s="314">
      <c r="A476" s="32">
        <f>IF(C476="","",816)</f>
        <v/>
      </c>
      <c r="B476" s="7" t="n">
        <v>46167</v>
      </c>
      <c r="C476" s="14" t="n"/>
      <c r="D476" s="16" t="n"/>
      <c r="E476" s="15" t="inlineStr">
        <is>
          <t>▼</t>
        </is>
      </c>
      <c r="F476" s="15" t="inlineStr">
        <is>
          <t>▼</t>
        </is>
      </c>
      <c r="G476" s="16" t="n"/>
      <c r="H476" s="15" t="inlineStr">
        <is>
          <t>▼</t>
        </is>
      </c>
      <c r="I476" s="17">
        <f>IF(C476="","",D476+IF(F476="Ambil Obat",IF(G476="",0,G476),0))</f>
        <v/>
      </c>
      <c r="J476" s="12">
        <f>$J$470</f>
        <v/>
      </c>
      <c r="K476" s="18" t="inlineStr">
        <is>
          <t>▼</t>
        </is>
      </c>
    </row>
    <row r="477" ht="21.75" customHeight="1" s="314">
      <c r="A477" s="6">
        <f>IF(C477="","",817)</f>
        <v/>
      </c>
      <c r="B477" s="7" t="n">
        <v>46167</v>
      </c>
      <c r="C477" s="8" t="n"/>
      <c r="D477" s="9" t="n"/>
      <c r="E477" s="10" t="inlineStr">
        <is>
          <t>▼</t>
        </is>
      </c>
      <c r="F477" s="10" t="inlineStr">
        <is>
          <t>▼</t>
        </is>
      </c>
      <c r="G477" s="9" t="n"/>
      <c r="H477" s="10" t="inlineStr">
        <is>
          <t>▼</t>
        </is>
      </c>
      <c r="I477" s="11">
        <f>IF(C477="","",D477+IF(F477="Ambil Obat",IF(G477="",0,G477),0))</f>
        <v/>
      </c>
      <c r="J477" s="12">
        <f>$J$470</f>
        <v/>
      </c>
      <c r="K477" s="13" t="inlineStr">
        <is>
          <t>▼</t>
        </is>
      </c>
    </row>
    <row r="478" ht="21.75" customHeight="1" s="314">
      <c r="A478" s="32">
        <f>IF(C478="","",818)</f>
        <v/>
      </c>
      <c r="B478" s="7" t="n">
        <v>46167</v>
      </c>
      <c r="C478" s="14" t="n"/>
      <c r="D478" s="16" t="n"/>
      <c r="E478" s="15" t="inlineStr">
        <is>
          <t>▼</t>
        </is>
      </c>
      <c r="F478" s="15" t="inlineStr">
        <is>
          <t>▼</t>
        </is>
      </c>
      <c r="G478" s="16" t="n"/>
      <c r="H478" s="15" t="inlineStr">
        <is>
          <t>▼</t>
        </is>
      </c>
      <c r="I478" s="17">
        <f>IF(C478="","",D478+IF(F478="Ambil Obat",IF(G478="",0,G478),0))</f>
        <v/>
      </c>
      <c r="J478" s="12">
        <f>$J$470</f>
        <v/>
      </c>
      <c r="K478" s="18" t="inlineStr">
        <is>
          <t>▼</t>
        </is>
      </c>
    </row>
    <row r="479" ht="21.75" customHeight="1" s="314">
      <c r="A479" s="6">
        <f>IF(C479="","",819)</f>
        <v/>
      </c>
      <c r="B479" s="7" t="n">
        <v>46167</v>
      </c>
      <c r="C479" s="8" t="n"/>
      <c r="D479" s="9" t="n"/>
      <c r="E479" s="10" t="inlineStr">
        <is>
          <t>▼</t>
        </is>
      </c>
      <c r="F479" s="10" t="inlineStr">
        <is>
          <t>▼</t>
        </is>
      </c>
      <c r="G479" s="9" t="n"/>
      <c r="H479" s="10" t="inlineStr">
        <is>
          <t>▼</t>
        </is>
      </c>
      <c r="I479" s="11">
        <f>IF(C479="","",D479+IF(F479="Ambil Obat",IF(G479="",0,G479),0))</f>
        <v/>
      </c>
      <c r="J479" s="12">
        <f>$J$470</f>
        <v/>
      </c>
      <c r="K479" s="13" t="inlineStr">
        <is>
          <t>▼</t>
        </is>
      </c>
    </row>
    <row r="480" ht="21.75" customHeight="1" s="314">
      <c r="A480" s="32">
        <f>IF(C480="","",820)</f>
        <v/>
      </c>
      <c r="B480" s="7" t="n">
        <v>46167</v>
      </c>
      <c r="C480" s="14" t="n"/>
      <c r="D480" s="16" t="n"/>
      <c r="E480" s="15" t="inlineStr">
        <is>
          <t>▼</t>
        </is>
      </c>
      <c r="F480" s="15" t="inlineStr">
        <is>
          <t>▼</t>
        </is>
      </c>
      <c r="G480" s="16" t="n"/>
      <c r="H480" s="15" t="inlineStr">
        <is>
          <t>▼</t>
        </is>
      </c>
      <c r="I480" s="17">
        <f>IF(C480="","",D480+IF(F480="Ambil Obat",IF(G480="",0,G480),0))</f>
        <v/>
      </c>
      <c r="J480" s="12">
        <f>$J$470</f>
        <v/>
      </c>
      <c r="K480" s="18" t="inlineStr">
        <is>
          <t>▼</t>
        </is>
      </c>
    </row>
    <row r="481" ht="21.75" customHeight="1" s="314">
      <c r="A481" s="6">
        <f>IF(C481="","",821)</f>
        <v/>
      </c>
      <c r="B481" s="7" t="n">
        <v>46167</v>
      </c>
      <c r="C481" s="8" t="n"/>
      <c r="D481" s="9" t="n"/>
      <c r="E481" s="10" t="inlineStr">
        <is>
          <t>▼</t>
        </is>
      </c>
      <c r="F481" s="10" t="inlineStr">
        <is>
          <t>▼</t>
        </is>
      </c>
      <c r="G481" s="9" t="n"/>
      <c r="H481" s="10" t="inlineStr">
        <is>
          <t>▼</t>
        </is>
      </c>
      <c r="I481" s="11">
        <f>IF(C481="","",D481+IF(F481="Ambil Obat",IF(G481="",0,G481),0))</f>
        <v/>
      </c>
      <c r="J481" s="12">
        <f>$J$470</f>
        <v/>
      </c>
      <c r="K481" s="13" t="inlineStr">
        <is>
          <t>▼</t>
        </is>
      </c>
    </row>
    <row r="482" ht="21.75" customHeight="1" s="314">
      <c r="A482" s="32">
        <f>IF(C482="","",822)</f>
        <v/>
      </c>
      <c r="B482" s="7" t="n">
        <v>46167</v>
      </c>
      <c r="C482" s="14" t="n"/>
      <c r="D482" s="16" t="n"/>
      <c r="E482" s="15" t="inlineStr">
        <is>
          <t>▼</t>
        </is>
      </c>
      <c r="F482" s="15" t="inlineStr">
        <is>
          <t>▼</t>
        </is>
      </c>
      <c r="G482" s="16" t="n"/>
      <c r="H482" s="15" t="inlineStr">
        <is>
          <t>▼</t>
        </is>
      </c>
      <c r="I482" s="17">
        <f>IF(C482="","",D482+IF(F482="Ambil Obat",IF(G482="",0,G482),0))</f>
        <v/>
      </c>
      <c r="J482" s="12">
        <f>$J$470</f>
        <v/>
      </c>
      <c r="K482" s="18" t="inlineStr">
        <is>
          <t>▼</t>
        </is>
      </c>
    </row>
    <row r="483" ht="21.75" customHeight="1" s="314">
      <c r="A483" s="6">
        <f>IF(C483="","",823)</f>
        <v/>
      </c>
      <c r="B483" s="7" t="n">
        <v>46167</v>
      </c>
      <c r="C483" s="8" t="n"/>
      <c r="D483" s="9" t="n"/>
      <c r="E483" s="10" t="inlineStr">
        <is>
          <t>▼</t>
        </is>
      </c>
      <c r="F483" s="10" t="inlineStr">
        <is>
          <t>▼</t>
        </is>
      </c>
      <c r="G483" s="9" t="n"/>
      <c r="H483" s="10" t="inlineStr">
        <is>
          <t>▼</t>
        </is>
      </c>
      <c r="I483" s="11">
        <f>IF(C483="","",D483+IF(F483="Ambil Obat",IF(G483="",0,G483),0))</f>
        <v/>
      </c>
      <c r="J483" s="12">
        <f>$J$470</f>
        <v/>
      </c>
      <c r="K483" s="13" t="inlineStr">
        <is>
          <t>▼</t>
        </is>
      </c>
    </row>
    <row r="484" ht="21.75" customHeight="1" s="314">
      <c r="A484" s="32">
        <f>IF(C484="","",824)</f>
        <v/>
      </c>
      <c r="B484" s="7" t="n">
        <v>46167</v>
      </c>
      <c r="C484" s="14" t="n"/>
      <c r="D484" s="16" t="n"/>
      <c r="E484" s="15" t="inlineStr">
        <is>
          <t>▼</t>
        </is>
      </c>
      <c r="F484" s="15" t="inlineStr">
        <is>
          <t>▼</t>
        </is>
      </c>
      <c r="G484" s="16" t="n"/>
      <c r="H484" s="15" t="inlineStr">
        <is>
          <t>▼</t>
        </is>
      </c>
      <c r="I484" s="17">
        <f>IF(C484="","",D484+IF(F484="Ambil Obat",IF(G484="",0,G484),0))</f>
        <v/>
      </c>
      <c r="J484" s="12">
        <f>$J$470</f>
        <v/>
      </c>
      <c r="K484" s="18" t="inlineStr">
        <is>
          <t>▼</t>
        </is>
      </c>
    </row>
    <row r="485" ht="21.75" customHeight="1" s="314">
      <c r="A485" s="6">
        <f>IF(C485="","",825)</f>
        <v/>
      </c>
      <c r="B485" s="7" t="n">
        <v>46167</v>
      </c>
      <c r="C485" s="8" t="n"/>
      <c r="D485" s="9" t="n"/>
      <c r="E485" s="10" t="inlineStr">
        <is>
          <t>▼</t>
        </is>
      </c>
      <c r="F485" s="10" t="inlineStr">
        <is>
          <t>▼</t>
        </is>
      </c>
      <c r="G485" s="9" t="n"/>
      <c r="H485" s="10" t="inlineStr">
        <is>
          <t>▼</t>
        </is>
      </c>
      <c r="I485" s="11">
        <f>IF(C485="","",D485+IF(F485="Ambil Obat",IF(G485="",0,G485),0))</f>
        <v/>
      </c>
      <c r="J485" s="12">
        <f>$J$470</f>
        <v/>
      </c>
      <c r="K485" s="13" t="inlineStr">
        <is>
          <t>▼</t>
        </is>
      </c>
    </row>
    <row r="486" ht="24" customHeight="1" s="314">
      <c r="A486" s="248">
        <f>IF(COUNTA(C471:C485)=0,"— belum ada data —","📊 Sub-total  "&amp; TEXT(B471,"DD MMM YYYY") &amp;"  ("&amp;COUNTA(C471:C485)&amp;" pasien)")</f>
        <v/>
      </c>
      <c r="B486" s="316" t="n"/>
      <c r="C486" s="316" t="n"/>
      <c r="D486" s="19">
        <f>IF(COUNTA(C471:C485)=0,"",SUM(D471:D485))</f>
        <v/>
      </c>
      <c r="E486" s="20">
        <f>IF(COUNTA(C471:C485)=0,"",SUMIF(E471:E485,"Cash",D471:D485))</f>
        <v/>
      </c>
      <c r="F486" s="21">
        <f>IF(COUNTA(C471:C485)=0,"",SUMIF(E471:E485,"Transfer Bank",D471:D485))</f>
        <v/>
      </c>
      <c r="G486" s="19">
        <f>IF(COUNTA(C471:C485)=0,"",SUMIF(F471:F485,"Ambil Obat",G471:G485))</f>
        <v/>
      </c>
      <c r="H486" s="20">
        <f>IF(COUNTA(C471:C485)=0,"",SUMIFS(G471:G485,H471:H485,"Cash",F471:F485,"Ambil Obat"))</f>
        <v/>
      </c>
      <c r="I486" s="21">
        <f>IF(COUNTA(C471:C485)=0,"",SUMIFS(G471:G485,H471:H485,"Transfer Bank",F471:F485,"Ambil Obat"))</f>
        <v/>
      </c>
      <c r="J486" s="22" t="n"/>
      <c r="K486" s="23">
        <f>IF(COUNTA(C471:C485)=0,"",D486+G486)</f>
        <v/>
      </c>
    </row>
    <row r="487" ht="24" customHeight="1" s="314">
      <c r="A487" s="249" t="inlineStr">
        <is>
          <t>📅  Selasa, 26 Mei 2026</t>
        </is>
      </c>
      <c r="B487" s="5" t="n"/>
      <c r="C487" s="5" t="n"/>
      <c r="D487" s="5" t="n"/>
      <c r="E487" s="5" t="n"/>
      <c r="F487" s="5" t="n"/>
      <c r="G487" s="5" t="n"/>
      <c r="H487" s="5" t="n"/>
      <c r="I487" s="5" t="n"/>
      <c r="J487" s="4" t="inlineStr">
        <is>
          <t>dr. HAWA</t>
        </is>
      </c>
      <c r="K487" s="5" t="n"/>
    </row>
    <row r="488" ht="21.75" customHeight="1" s="314">
      <c r="A488" s="6">
        <f>IF(C488="","",826)</f>
        <v/>
      </c>
      <c r="B488" s="7" t="n">
        <v>46168</v>
      </c>
      <c r="C488" s="8" t="n"/>
      <c r="D488" s="9" t="n"/>
      <c r="E488" s="10" t="inlineStr">
        <is>
          <t>▼</t>
        </is>
      </c>
      <c r="F488" s="10" t="inlineStr">
        <is>
          <t>▼</t>
        </is>
      </c>
      <c r="G488" s="9" t="n"/>
      <c r="H488" s="10" t="inlineStr">
        <is>
          <t>▼</t>
        </is>
      </c>
      <c r="I488" s="11">
        <f>IF(C488="","",D488+IF(F488="Ambil Obat",IF(G488="",0,G488),0))</f>
        <v/>
      </c>
      <c r="J488" s="12">
        <f>$J$487</f>
        <v/>
      </c>
      <c r="K488" s="13" t="inlineStr">
        <is>
          <t>▼</t>
        </is>
      </c>
    </row>
    <row r="489" ht="21.75" customHeight="1" s="314">
      <c r="A489" s="32">
        <f>IF(C489="","",827)</f>
        <v/>
      </c>
      <c r="B489" s="7" t="n">
        <v>46168</v>
      </c>
      <c r="C489" s="14" t="n"/>
      <c r="D489" s="16" t="n"/>
      <c r="E489" s="15" t="inlineStr">
        <is>
          <t>▼</t>
        </is>
      </c>
      <c r="F489" s="15" t="inlineStr">
        <is>
          <t>▼</t>
        </is>
      </c>
      <c r="G489" s="16" t="n"/>
      <c r="H489" s="15" t="inlineStr">
        <is>
          <t>▼</t>
        </is>
      </c>
      <c r="I489" s="17">
        <f>IF(C489="","",D489+IF(F489="Ambil Obat",IF(G489="",0,G489),0))</f>
        <v/>
      </c>
      <c r="J489" s="12">
        <f>$J$487</f>
        <v/>
      </c>
      <c r="K489" s="18" t="inlineStr">
        <is>
          <t>▼</t>
        </is>
      </c>
    </row>
    <row r="490" ht="21.75" customHeight="1" s="314">
      <c r="A490" s="6">
        <f>IF(C490="","",828)</f>
        <v/>
      </c>
      <c r="B490" s="7" t="n">
        <v>46168</v>
      </c>
      <c r="C490" s="8" t="n"/>
      <c r="D490" s="9" t="n"/>
      <c r="E490" s="10" t="inlineStr">
        <is>
          <t>▼</t>
        </is>
      </c>
      <c r="F490" s="10" t="inlineStr">
        <is>
          <t>▼</t>
        </is>
      </c>
      <c r="G490" s="9" t="n"/>
      <c r="H490" s="10" t="inlineStr">
        <is>
          <t>▼</t>
        </is>
      </c>
      <c r="I490" s="11">
        <f>IF(C490="","",D490+IF(F490="Ambil Obat",IF(G490="",0,G490),0))</f>
        <v/>
      </c>
      <c r="J490" s="12">
        <f>$J$487</f>
        <v/>
      </c>
      <c r="K490" s="13" t="inlineStr">
        <is>
          <t>▼</t>
        </is>
      </c>
    </row>
    <row r="491" ht="21.75" customHeight="1" s="314">
      <c r="A491" s="32">
        <f>IF(C491="","",829)</f>
        <v/>
      </c>
      <c r="B491" s="7" t="n">
        <v>46168</v>
      </c>
      <c r="C491" s="14" t="n"/>
      <c r="D491" s="16" t="n"/>
      <c r="E491" s="15" t="inlineStr">
        <is>
          <t>▼</t>
        </is>
      </c>
      <c r="F491" s="15" t="inlineStr">
        <is>
          <t>▼</t>
        </is>
      </c>
      <c r="G491" s="16" t="n"/>
      <c r="H491" s="15" t="inlineStr">
        <is>
          <t>▼</t>
        </is>
      </c>
      <c r="I491" s="17">
        <f>IF(C491="","",D491+IF(F491="Ambil Obat",IF(G491="",0,G491),0))</f>
        <v/>
      </c>
      <c r="J491" s="12">
        <f>$J$487</f>
        <v/>
      </c>
      <c r="K491" s="18" t="inlineStr">
        <is>
          <t>▼</t>
        </is>
      </c>
    </row>
    <row r="492" ht="21.75" customHeight="1" s="314">
      <c r="A492" s="6">
        <f>IF(C492="","",830)</f>
        <v/>
      </c>
      <c r="B492" s="7" t="n">
        <v>46168</v>
      </c>
      <c r="C492" s="8" t="n"/>
      <c r="D492" s="9" t="n"/>
      <c r="E492" s="10" t="inlineStr">
        <is>
          <t>▼</t>
        </is>
      </c>
      <c r="F492" s="10" t="inlineStr">
        <is>
          <t>▼</t>
        </is>
      </c>
      <c r="G492" s="9" t="n"/>
      <c r="H492" s="10" t="inlineStr">
        <is>
          <t>▼</t>
        </is>
      </c>
      <c r="I492" s="11">
        <f>IF(C492="","",D492+IF(F492="Ambil Obat",IF(G492="",0,G492),0))</f>
        <v/>
      </c>
      <c r="J492" s="12">
        <f>$J$487</f>
        <v/>
      </c>
      <c r="K492" s="13" t="inlineStr">
        <is>
          <t>▼</t>
        </is>
      </c>
    </row>
    <row r="493" ht="21.75" customHeight="1" s="314">
      <c r="A493" s="32">
        <f>IF(C493="","",831)</f>
        <v/>
      </c>
      <c r="B493" s="7" t="n">
        <v>46168</v>
      </c>
      <c r="C493" s="14" t="n"/>
      <c r="D493" s="16" t="n"/>
      <c r="E493" s="15" t="inlineStr">
        <is>
          <t>▼</t>
        </is>
      </c>
      <c r="F493" s="15" t="inlineStr">
        <is>
          <t>▼</t>
        </is>
      </c>
      <c r="G493" s="16" t="n"/>
      <c r="H493" s="15" t="inlineStr">
        <is>
          <t>▼</t>
        </is>
      </c>
      <c r="I493" s="17">
        <f>IF(C493="","",D493+IF(F493="Ambil Obat",IF(G493="",0,G493),0))</f>
        <v/>
      </c>
      <c r="J493" s="12">
        <f>$J$487</f>
        <v/>
      </c>
      <c r="K493" s="18" t="inlineStr">
        <is>
          <t>▼</t>
        </is>
      </c>
    </row>
    <row r="494" ht="21.75" customHeight="1" s="314">
      <c r="A494" s="6">
        <f>IF(C494="","",832)</f>
        <v/>
      </c>
      <c r="B494" s="7" t="n">
        <v>46168</v>
      </c>
      <c r="C494" s="8" t="n"/>
      <c r="D494" s="9" t="n"/>
      <c r="E494" s="10" t="inlineStr">
        <is>
          <t>▼</t>
        </is>
      </c>
      <c r="F494" s="10" t="inlineStr">
        <is>
          <t>▼</t>
        </is>
      </c>
      <c r="G494" s="9" t="n"/>
      <c r="H494" s="10" t="inlineStr">
        <is>
          <t>▼</t>
        </is>
      </c>
      <c r="I494" s="11">
        <f>IF(C494="","",D494+IF(F494="Ambil Obat",IF(G494="",0,G494),0))</f>
        <v/>
      </c>
      <c r="J494" s="12">
        <f>$J$487</f>
        <v/>
      </c>
      <c r="K494" s="13" t="inlineStr">
        <is>
          <t>▼</t>
        </is>
      </c>
    </row>
    <row r="495" ht="21.75" customHeight="1" s="314">
      <c r="A495" s="32">
        <f>IF(C495="","",833)</f>
        <v/>
      </c>
      <c r="B495" s="7" t="n">
        <v>46168</v>
      </c>
      <c r="C495" s="14" t="n"/>
      <c r="D495" s="16" t="n"/>
      <c r="E495" s="15" t="inlineStr">
        <is>
          <t>▼</t>
        </is>
      </c>
      <c r="F495" s="15" t="inlineStr">
        <is>
          <t>▼</t>
        </is>
      </c>
      <c r="G495" s="16" t="n"/>
      <c r="H495" s="15" t="inlineStr">
        <is>
          <t>▼</t>
        </is>
      </c>
      <c r="I495" s="17">
        <f>IF(C495="","",D495+IF(F495="Ambil Obat",IF(G495="",0,G495),0))</f>
        <v/>
      </c>
      <c r="J495" s="12">
        <f>$J$487</f>
        <v/>
      </c>
      <c r="K495" s="18" t="inlineStr">
        <is>
          <t>▼</t>
        </is>
      </c>
    </row>
    <row r="496" ht="21.75" customHeight="1" s="314">
      <c r="A496" s="6">
        <f>IF(C496="","",834)</f>
        <v/>
      </c>
      <c r="B496" s="7" t="n">
        <v>46168</v>
      </c>
      <c r="C496" s="8" t="n"/>
      <c r="D496" s="9" t="n"/>
      <c r="E496" s="10" t="inlineStr">
        <is>
          <t>▼</t>
        </is>
      </c>
      <c r="F496" s="10" t="inlineStr">
        <is>
          <t>▼</t>
        </is>
      </c>
      <c r="G496" s="9" t="n"/>
      <c r="H496" s="10" t="inlineStr">
        <is>
          <t>▼</t>
        </is>
      </c>
      <c r="I496" s="11">
        <f>IF(C496="","",D496+IF(F496="Ambil Obat",IF(G496="",0,G496),0))</f>
        <v/>
      </c>
      <c r="J496" s="12">
        <f>$J$487</f>
        <v/>
      </c>
      <c r="K496" s="13" t="inlineStr">
        <is>
          <t>▼</t>
        </is>
      </c>
    </row>
    <row r="497" ht="21.75" customHeight="1" s="314">
      <c r="A497" s="32">
        <f>IF(C497="","",835)</f>
        <v/>
      </c>
      <c r="B497" s="7" t="n">
        <v>46168</v>
      </c>
      <c r="C497" s="14" t="n"/>
      <c r="D497" s="16" t="n"/>
      <c r="E497" s="15" t="inlineStr">
        <is>
          <t>▼</t>
        </is>
      </c>
      <c r="F497" s="15" t="inlineStr">
        <is>
          <t>▼</t>
        </is>
      </c>
      <c r="G497" s="16" t="n"/>
      <c r="H497" s="15" t="inlineStr">
        <is>
          <t>▼</t>
        </is>
      </c>
      <c r="I497" s="17">
        <f>IF(C497="","",D497+IF(F497="Ambil Obat",IF(G497="",0,G497),0))</f>
        <v/>
      </c>
      <c r="J497" s="12">
        <f>$J$487</f>
        <v/>
      </c>
      <c r="K497" s="18" t="inlineStr">
        <is>
          <t>▼</t>
        </is>
      </c>
    </row>
    <row r="498" ht="21.75" customHeight="1" s="314">
      <c r="A498" s="6">
        <f>IF(C498="","",836)</f>
        <v/>
      </c>
      <c r="B498" s="7" t="n">
        <v>46168</v>
      </c>
      <c r="C498" s="8" t="n"/>
      <c r="D498" s="9" t="n"/>
      <c r="E498" s="10" t="inlineStr">
        <is>
          <t>▼</t>
        </is>
      </c>
      <c r="F498" s="10" t="inlineStr">
        <is>
          <t>▼</t>
        </is>
      </c>
      <c r="G498" s="9" t="n"/>
      <c r="H498" s="10" t="inlineStr">
        <is>
          <t>▼</t>
        </is>
      </c>
      <c r="I498" s="11">
        <f>IF(C498="","",D498+IF(F498="Ambil Obat",IF(G498="",0,G498),0))</f>
        <v/>
      </c>
      <c r="J498" s="12">
        <f>$J$487</f>
        <v/>
      </c>
      <c r="K498" s="13" t="inlineStr">
        <is>
          <t>▼</t>
        </is>
      </c>
    </row>
    <row r="499" ht="21.75" customHeight="1" s="314">
      <c r="A499" s="32">
        <f>IF(C499="","",837)</f>
        <v/>
      </c>
      <c r="B499" s="7" t="n">
        <v>46168</v>
      </c>
      <c r="C499" s="14" t="n"/>
      <c r="D499" s="16" t="n"/>
      <c r="E499" s="15" t="inlineStr">
        <is>
          <t>▼</t>
        </is>
      </c>
      <c r="F499" s="15" t="inlineStr">
        <is>
          <t>▼</t>
        </is>
      </c>
      <c r="G499" s="16" t="n"/>
      <c r="H499" s="15" t="inlineStr">
        <is>
          <t>▼</t>
        </is>
      </c>
      <c r="I499" s="17">
        <f>IF(C499="","",D499+IF(F499="Ambil Obat",IF(G499="",0,G499),0))</f>
        <v/>
      </c>
      <c r="J499" s="12">
        <f>$J$487</f>
        <v/>
      </c>
      <c r="K499" s="18" t="inlineStr">
        <is>
          <t>▼</t>
        </is>
      </c>
    </row>
    <row r="500" ht="21.75" customHeight="1" s="314">
      <c r="A500" s="6">
        <f>IF(C500="","",838)</f>
        <v/>
      </c>
      <c r="B500" s="7" t="n">
        <v>46168</v>
      </c>
      <c r="C500" s="8" t="n"/>
      <c r="D500" s="9" t="n"/>
      <c r="E500" s="10" t="inlineStr">
        <is>
          <t>▼</t>
        </is>
      </c>
      <c r="F500" s="10" t="inlineStr">
        <is>
          <t>▼</t>
        </is>
      </c>
      <c r="G500" s="9" t="n"/>
      <c r="H500" s="10" t="inlineStr">
        <is>
          <t>▼</t>
        </is>
      </c>
      <c r="I500" s="11">
        <f>IF(C500="","",D500+IF(F500="Ambil Obat",IF(G500="",0,G500),0))</f>
        <v/>
      </c>
      <c r="J500" s="12">
        <f>$J$487</f>
        <v/>
      </c>
      <c r="K500" s="13" t="inlineStr">
        <is>
          <t>▼</t>
        </is>
      </c>
    </row>
    <row r="501" ht="21.75" customHeight="1" s="314">
      <c r="A501" s="32">
        <f>IF(C501="","",839)</f>
        <v/>
      </c>
      <c r="B501" s="7" t="n">
        <v>46168</v>
      </c>
      <c r="C501" s="14" t="n"/>
      <c r="D501" s="16" t="n"/>
      <c r="E501" s="15" t="inlineStr">
        <is>
          <t>▼</t>
        </is>
      </c>
      <c r="F501" s="15" t="inlineStr">
        <is>
          <t>▼</t>
        </is>
      </c>
      <c r="G501" s="16" t="n"/>
      <c r="H501" s="15" t="inlineStr">
        <is>
          <t>▼</t>
        </is>
      </c>
      <c r="I501" s="17">
        <f>IF(C501="","",D501+IF(F501="Ambil Obat",IF(G501="",0,G501),0))</f>
        <v/>
      </c>
      <c r="J501" s="12">
        <f>$J$487</f>
        <v/>
      </c>
      <c r="K501" s="18" t="inlineStr">
        <is>
          <t>▼</t>
        </is>
      </c>
    </row>
    <row r="502" ht="21.75" customHeight="1" s="314">
      <c r="A502" s="6">
        <f>IF(C502="","",840)</f>
        <v/>
      </c>
      <c r="B502" s="7" t="n">
        <v>46168</v>
      </c>
      <c r="C502" s="8" t="n"/>
      <c r="D502" s="9" t="n"/>
      <c r="E502" s="10" t="inlineStr">
        <is>
          <t>▼</t>
        </is>
      </c>
      <c r="F502" s="10" t="inlineStr">
        <is>
          <t>▼</t>
        </is>
      </c>
      <c r="G502" s="9" t="n"/>
      <c r="H502" s="10" t="inlineStr">
        <is>
          <t>▼</t>
        </is>
      </c>
      <c r="I502" s="11">
        <f>IF(C502="","",D502+IF(F502="Ambil Obat",IF(G502="",0,G502),0))</f>
        <v/>
      </c>
      <c r="J502" s="12">
        <f>$J$487</f>
        <v/>
      </c>
      <c r="K502" s="13" t="inlineStr">
        <is>
          <t>▼</t>
        </is>
      </c>
    </row>
    <row r="503" ht="24" customHeight="1" s="314">
      <c r="A503" s="248">
        <f>IF(COUNTA(C488:C502)=0,"— belum ada data —","📊 Sub-total  "&amp; TEXT(B488,"DD MMM YYYY") &amp;"  ("&amp;COUNTA(C488:C502)&amp;" pasien)")</f>
        <v/>
      </c>
      <c r="B503" s="316" t="n"/>
      <c r="C503" s="316" t="n"/>
      <c r="D503" s="19">
        <f>IF(COUNTA(C488:C502)=0,"",SUM(D488:D502))</f>
        <v/>
      </c>
      <c r="E503" s="20">
        <f>IF(COUNTA(C488:C502)=0,"",SUMIF(E488:E502,"Cash",D488:D502))</f>
        <v/>
      </c>
      <c r="F503" s="21">
        <f>IF(COUNTA(C488:C502)=0,"",SUMIF(E488:E502,"Transfer Bank",D488:D502))</f>
        <v/>
      </c>
      <c r="G503" s="19">
        <f>IF(COUNTA(C488:C502)=0,"",SUMIF(F488:F502,"Ambil Obat",G488:G502))</f>
        <v/>
      </c>
      <c r="H503" s="20">
        <f>IF(COUNTA(C488:C502)=0,"",SUMIFS(G488:G502,H488:H502,"Cash",F488:F502,"Ambil Obat"))</f>
        <v/>
      </c>
      <c r="I503" s="21">
        <f>IF(COUNTA(C488:C502)=0,"",SUMIFS(G488:G502,H488:H502,"Transfer Bank",F488:F502,"Ambil Obat"))</f>
        <v/>
      </c>
      <c r="J503" s="22" t="n"/>
      <c r="K503" s="23">
        <f>IF(COUNTA(C488:C502)=0,"",D503+G503)</f>
        <v/>
      </c>
    </row>
    <row r="504" ht="24" customHeight="1" s="314">
      <c r="A504" s="249" t="inlineStr">
        <is>
          <t>📅  Rabu, 27 Mei 2026</t>
        </is>
      </c>
      <c r="B504" s="5" t="n"/>
      <c r="C504" s="5" t="n"/>
      <c r="D504" s="5" t="n"/>
      <c r="E504" s="5" t="n"/>
      <c r="F504" s="5" t="n"/>
      <c r="G504" s="5" t="n"/>
      <c r="H504" s="5" t="n"/>
      <c r="I504" s="5" t="n"/>
      <c r="J504" s="4" t="inlineStr">
        <is>
          <t>dr. ARIF</t>
        </is>
      </c>
      <c r="K504" s="5" t="n"/>
    </row>
    <row r="505" ht="21.75" customHeight="1" s="314">
      <c r="A505" s="6">
        <f>IF(C505="","",841)</f>
        <v/>
      </c>
      <c r="B505" s="7" t="n">
        <v>46169</v>
      </c>
      <c r="C505" s="8" t="n"/>
      <c r="D505" s="9" t="n"/>
      <c r="E505" s="10" t="inlineStr">
        <is>
          <t>▼</t>
        </is>
      </c>
      <c r="F505" s="10" t="inlineStr">
        <is>
          <t>▼</t>
        </is>
      </c>
      <c r="G505" s="9" t="n"/>
      <c r="H505" s="10" t="inlineStr">
        <is>
          <t>▼</t>
        </is>
      </c>
      <c r="I505" s="11">
        <f>IF(C505="","",D505+IF(F505="Ambil Obat",IF(G505="",0,G505),0))</f>
        <v/>
      </c>
      <c r="J505" s="12">
        <f>$J$504</f>
        <v/>
      </c>
      <c r="K505" s="13" t="inlineStr">
        <is>
          <t>▼</t>
        </is>
      </c>
    </row>
    <row r="506" ht="21.75" customHeight="1" s="314">
      <c r="A506" s="32">
        <f>IF(C506="","",842)</f>
        <v/>
      </c>
      <c r="B506" s="7" t="n">
        <v>46169</v>
      </c>
      <c r="C506" s="14" t="n"/>
      <c r="D506" s="16" t="n"/>
      <c r="E506" s="15" t="inlineStr">
        <is>
          <t>▼</t>
        </is>
      </c>
      <c r="F506" s="15" t="inlineStr">
        <is>
          <t>▼</t>
        </is>
      </c>
      <c r="G506" s="16" t="n"/>
      <c r="H506" s="15" t="inlineStr">
        <is>
          <t>▼</t>
        </is>
      </c>
      <c r="I506" s="17">
        <f>IF(C506="","",D506+IF(F506="Ambil Obat",IF(G506="",0,G506),0))</f>
        <v/>
      </c>
      <c r="J506" s="12">
        <f>$J$504</f>
        <v/>
      </c>
      <c r="K506" s="18" t="inlineStr">
        <is>
          <t>▼</t>
        </is>
      </c>
    </row>
    <row r="507" ht="21.75" customHeight="1" s="314">
      <c r="A507" s="6">
        <f>IF(C507="","",843)</f>
        <v/>
      </c>
      <c r="B507" s="7" t="n">
        <v>46169</v>
      </c>
      <c r="C507" s="8" t="n"/>
      <c r="D507" s="9" t="n"/>
      <c r="E507" s="10" t="inlineStr">
        <is>
          <t>▼</t>
        </is>
      </c>
      <c r="F507" s="10" t="inlineStr">
        <is>
          <t>▼</t>
        </is>
      </c>
      <c r="G507" s="9" t="n"/>
      <c r="H507" s="10" t="inlineStr">
        <is>
          <t>▼</t>
        </is>
      </c>
      <c r="I507" s="11">
        <f>IF(C507="","",D507+IF(F507="Ambil Obat",IF(G507="",0,G507),0))</f>
        <v/>
      </c>
      <c r="J507" s="12">
        <f>$J$504</f>
        <v/>
      </c>
      <c r="K507" s="13" t="inlineStr">
        <is>
          <t>▼</t>
        </is>
      </c>
    </row>
    <row r="508" ht="21.75" customHeight="1" s="314">
      <c r="A508" s="32">
        <f>IF(C508="","",844)</f>
        <v/>
      </c>
      <c r="B508" s="7" t="n">
        <v>46169</v>
      </c>
      <c r="C508" s="14" t="n"/>
      <c r="D508" s="16" t="n"/>
      <c r="E508" s="15" t="inlineStr">
        <is>
          <t>▼</t>
        </is>
      </c>
      <c r="F508" s="15" t="inlineStr">
        <is>
          <t>▼</t>
        </is>
      </c>
      <c r="G508" s="16" t="n"/>
      <c r="H508" s="15" t="inlineStr">
        <is>
          <t>▼</t>
        </is>
      </c>
      <c r="I508" s="17">
        <f>IF(C508="","",D508+IF(F508="Ambil Obat",IF(G508="",0,G508),0))</f>
        <v/>
      </c>
      <c r="J508" s="12">
        <f>$J$504</f>
        <v/>
      </c>
      <c r="K508" s="18" t="inlineStr">
        <is>
          <t>▼</t>
        </is>
      </c>
    </row>
    <row r="509" ht="21.75" customHeight="1" s="314">
      <c r="A509" s="6">
        <f>IF(C509="","",845)</f>
        <v/>
      </c>
      <c r="B509" s="7" t="n">
        <v>46169</v>
      </c>
      <c r="C509" s="8" t="n"/>
      <c r="D509" s="9" t="n"/>
      <c r="E509" s="10" t="inlineStr">
        <is>
          <t>▼</t>
        </is>
      </c>
      <c r="F509" s="10" t="inlineStr">
        <is>
          <t>▼</t>
        </is>
      </c>
      <c r="G509" s="9" t="n"/>
      <c r="H509" s="10" t="inlineStr">
        <is>
          <t>▼</t>
        </is>
      </c>
      <c r="I509" s="11">
        <f>IF(C509="","",D509+IF(F509="Ambil Obat",IF(G509="",0,G509),0))</f>
        <v/>
      </c>
      <c r="J509" s="12">
        <f>$J$504</f>
        <v/>
      </c>
      <c r="K509" s="13" t="inlineStr">
        <is>
          <t>▼</t>
        </is>
      </c>
    </row>
    <row r="510" ht="21.75" customHeight="1" s="314">
      <c r="A510" s="32">
        <f>IF(C510="","",846)</f>
        <v/>
      </c>
      <c r="B510" s="7" t="n">
        <v>46169</v>
      </c>
      <c r="C510" s="14" t="n"/>
      <c r="D510" s="16" t="n"/>
      <c r="E510" s="15" t="inlineStr">
        <is>
          <t>▼</t>
        </is>
      </c>
      <c r="F510" s="15" t="inlineStr">
        <is>
          <t>▼</t>
        </is>
      </c>
      <c r="G510" s="16" t="n"/>
      <c r="H510" s="15" t="inlineStr">
        <is>
          <t>▼</t>
        </is>
      </c>
      <c r="I510" s="17">
        <f>IF(C510="","",D510+IF(F510="Ambil Obat",IF(G510="",0,G510),0))</f>
        <v/>
      </c>
      <c r="J510" s="12">
        <f>$J$504</f>
        <v/>
      </c>
      <c r="K510" s="18" t="inlineStr">
        <is>
          <t>▼</t>
        </is>
      </c>
    </row>
    <row r="511" ht="21.75" customHeight="1" s="314">
      <c r="A511" s="6">
        <f>IF(C511="","",847)</f>
        <v/>
      </c>
      <c r="B511" s="7" t="n">
        <v>46169</v>
      </c>
      <c r="C511" s="8" t="n"/>
      <c r="D511" s="9" t="n"/>
      <c r="E511" s="10" t="inlineStr">
        <is>
          <t>▼</t>
        </is>
      </c>
      <c r="F511" s="10" t="inlineStr">
        <is>
          <t>▼</t>
        </is>
      </c>
      <c r="G511" s="9" t="n"/>
      <c r="H511" s="10" t="inlineStr">
        <is>
          <t>▼</t>
        </is>
      </c>
      <c r="I511" s="11">
        <f>IF(C511="","",D511+IF(F511="Ambil Obat",IF(G511="",0,G511),0))</f>
        <v/>
      </c>
      <c r="J511" s="12">
        <f>$J$504</f>
        <v/>
      </c>
      <c r="K511" s="13" t="inlineStr">
        <is>
          <t>▼</t>
        </is>
      </c>
    </row>
    <row r="512" ht="21.75" customHeight="1" s="314">
      <c r="A512" s="32">
        <f>IF(C512="","",848)</f>
        <v/>
      </c>
      <c r="B512" s="7" t="n">
        <v>46169</v>
      </c>
      <c r="C512" s="14" t="n"/>
      <c r="D512" s="16" t="n"/>
      <c r="E512" s="15" t="inlineStr">
        <is>
          <t>▼</t>
        </is>
      </c>
      <c r="F512" s="15" t="inlineStr">
        <is>
          <t>▼</t>
        </is>
      </c>
      <c r="G512" s="16" t="n"/>
      <c r="H512" s="15" t="inlineStr">
        <is>
          <t>▼</t>
        </is>
      </c>
      <c r="I512" s="17">
        <f>IF(C512="","",D512+IF(F512="Ambil Obat",IF(G512="",0,G512),0))</f>
        <v/>
      </c>
      <c r="J512" s="12">
        <f>$J$504</f>
        <v/>
      </c>
      <c r="K512" s="18" t="inlineStr">
        <is>
          <t>▼</t>
        </is>
      </c>
    </row>
    <row r="513" ht="21.75" customHeight="1" s="314">
      <c r="A513" s="6">
        <f>IF(C513="","",849)</f>
        <v/>
      </c>
      <c r="B513" s="7" t="n">
        <v>46169</v>
      </c>
      <c r="C513" s="8" t="n"/>
      <c r="D513" s="9" t="n"/>
      <c r="E513" s="10" t="inlineStr">
        <is>
          <t>▼</t>
        </is>
      </c>
      <c r="F513" s="10" t="inlineStr">
        <is>
          <t>▼</t>
        </is>
      </c>
      <c r="G513" s="9" t="n"/>
      <c r="H513" s="10" t="inlineStr">
        <is>
          <t>▼</t>
        </is>
      </c>
      <c r="I513" s="11">
        <f>IF(C513="","",D513+IF(F513="Ambil Obat",IF(G513="",0,G513),0))</f>
        <v/>
      </c>
      <c r="J513" s="12">
        <f>$J$504</f>
        <v/>
      </c>
      <c r="K513" s="13" t="inlineStr">
        <is>
          <t>▼</t>
        </is>
      </c>
    </row>
    <row r="514" ht="21.75" customHeight="1" s="314">
      <c r="A514" s="32">
        <f>IF(C514="","",850)</f>
        <v/>
      </c>
      <c r="B514" s="7" t="n">
        <v>46169</v>
      </c>
      <c r="C514" s="14" t="n"/>
      <c r="D514" s="16" t="n"/>
      <c r="E514" s="15" t="inlineStr">
        <is>
          <t>▼</t>
        </is>
      </c>
      <c r="F514" s="15" t="inlineStr">
        <is>
          <t>▼</t>
        </is>
      </c>
      <c r="G514" s="16" t="n"/>
      <c r="H514" s="15" t="inlineStr">
        <is>
          <t>▼</t>
        </is>
      </c>
      <c r="I514" s="17">
        <f>IF(C514="","",D514+IF(F514="Ambil Obat",IF(G514="",0,G514),0))</f>
        <v/>
      </c>
      <c r="J514" s="12">
        <f>$J$504</f>
        <v/>
      </c>
      <c r="K514" s="18" t="inlineStr">
        <is>
          <t>▼</t>
        </is>
      </c>
    </row>
    <row r="515" ht="21.75" customHeight="1" s="314">
      <c r="A515" s="6">
        <f>IF(C515="","",851)</f>
        <v/>
      </c>
      <c r="B515" s="7" t="n">
        <v>46169</v>
      </c>
      <c r="C515" s="8" t="n"/>
      <c r="D515" s="9" t="n"/>
      <c r="E515" s="10" t="inlineStr">
        <is>
          <t>▼</t>
        </is>
      </c>
      <c r="F515" s="10" t="inlineStr">
        <is>
          <t>▼</t>
        </is>
      </c>
      <c r="G515" s="9" t="n"/>
      <c r="H515" s="10" t="inlineStr">
        <is>
          <t>▼</t>
        </is>
      </c>
      <c r="I515" s="11">
        <f>IF(C515="","",D515+IF(F515="Ambil Obat",IF(G515="",0,G515),0))</f>
        <v/>
      </c>
      <c r="J515" s="12">
        <f>$J$504</f>
        <v/>
      </c>
      <c r="K515" s="13" t="inlineStr">
        <is>
          <t>▼</t>
        </is>
      </c>
    </row>
    <row r="516" ht="21.75" customHeight="1" s="314">
      <c r="A516" s="32">
        <f>IF(C516="","",852)</f>
        <v/>
      </c>
      <c r="B516" s="7" t="n">
        <v>46169</v>
      </c>
      <c r="C516" s="14" t="n"/>
      <c r="D516" s="16" t="n"/>
      <c r="E516" s="15" t="inlineStr">
        <is>
          <t>▼</t>
        </is>
      </c>
      <c r="F516" s="15" t="inlineStr">
        <is>
          <t>▼</t>
        </is>
      </c>
      <c r="G516" s="16" t="n"/>
      <c r="H516" s="15" t="inlineStr">
        <is>
          <t>▼</t>
        </is>
      </c>
      <c r="I516" s="17">
        <f>IF(C516="","",D516+IF(F516="Ambil Obat",IF(G516="",0,G516),0))</f>
        <v/>
      </c>
      <c r="J516" s="12">
        <f>$J$504</f>
        <v/>
      </c>
      <c r="K516" s="18" t="inlineStr">
        <is>
          <t>▼</t>
        </is>
      </c>
    </row>
    <row r="517" ht="21.75" customHeight="1" s="314">
      <c r="A517" s="6">
        <f>IF(C517="","",853)</f>
        <v/>
      </c>
      <c r="B517" s="7" t="n">
        <v>46169</v>
      </c>
      <c r="C517" s="8" t="n"/>
      <c r="D517" s="9" t="n"/>
      <c r="E517" s="10" t="inlineStr">
        <is>
          <t>▼</t>
        </is>
      </c>
      <c r="F517" s="10" t="inlineStr">
        <is>
          <t>▼</t>
        </is>
      </c>
      <c r="G517" s="9" t="n"/>
      <c r="H517" s="10" t="inlineStr">
        <is>
          <t>▼</t>
        </is>
      </c>
      <c r="I517" s="11">
        <f>IF(C517="","",D517+IF(F517="Ambil Obat",IF(G517="",0,G517),0))</f>
        <v/>
      </c>
      <c r="J517" s="12">
        <f>$J$504</f>
        <v/>
      </c>
      <c r="K517" s="13" t="inlineStr">
        <is>
          <t>▼</t>
        </is>
      </c>
    </row>
    <row r="518" ht="21.75" customHeight="1" s="314">
      <c r="A518" s="32">
        <f>IF(C518="","",854)</f>
        <v/>
      </c>
      <c r="B518" s="7" t="n">
        <v>46169</v>
      </c>
      <c r="C518" s="14" t="n"/>
      <c r="D518" s="16" t="n"/>
      <c r="E518" s="15" t="inlineStr">
        <is>
          <t>▼</t>
        </is>
      </c>
      <c r="F518" s="15" t="inlineStr">
        <is>
          <t>▼</t>
        </is>
      </c>
      <c r="G518" s="16" t="n"/>
      <c r="H518" s="15" t="inlineStr">
        <is>
          <t>▼</t>
        </is>
      </c>
      <c r="I518" s="17">
        <f>IF(C518="","",D518+IF(F518="Ambil Obat",IF(G518="",0,G518),0))</f>
        <v/>
      </c>
      <c r="J518" s="12">
        <f>$J$504</f>
        <v/>
      </c>
      <c r="K518" s="18" t="inlineStr">
        <is>
          <t>▼</t>
        </is>
      </c>
    </row>
    <row r="519" ht="21.75" customHeight="1" s="314">
      <c r="A519" s="6">
        <f>IF(C519="","",855)</f>
        <v/>
      </c>
      <c r="B519" s="7" t="n">
        <v>46169</v>
      </c>
      <c r="C519" s="8" t="n"/>
      <c r="D519" s="9" t="n"/>
      <c r="E519" s="10" t="inlineStr">
        <is>
          <t>▼</t>
        </is>
      </c>
      <c r="F519" s="10" t="inlineStr">
        <is>
          <t>▼</t>
        </is>
      </c>
      <c r="G519" s="9" t="n"/>
      <c r="H519" s="10" t="inlineStr">
        <is>
          <t>▼</t>
        </is>
      </c>
      <c r="I519" s="11">
        <f>IF(C519="","",D519+IF(F519="Ambil Obat",IF(G519="",0,G519),0))</f>
        <v/>
      </c>
      <c r="J519" s="12">
        <f>$J$504</f>
        <v/>
      </c>
      <c r="K519" s="13" t="inlineStr">
        <is>
          <t>▼</t>
        </is>
      </c>
    </row>
    <row r="520" ht="24" customHeight="1" s="314">
      <c r="A520" s="248">
        <f>IF(COUNTA(C505:C519)=0,"— belum ada data —","📊 Sub-total  "&amp; TEXT(B505,"DD MMM YYYY") &amp;"  ("&amp;COUNTA(C505:C519)&amp;" pasien)")</f>
        <v/>
      </c>
      <c r="B520" s="316" t="n"/>
      <c r="C520" s="316" t="n"/>
      <c r="D520" s="19">
        <f>IF(COUNTA(C505:C519)=0,"",SUM(D505:D519))</f>
        <v/>
      </c>
      <c r="E520" s="20">
        <f>IF(COUNTA(C505:C519)=0,"",SUMIF(E505:E519,"Cash",D505:D519))</f>
        <v/>
      </c>
      <c r="F520" s="21">
        <f>IF(COUNTA(C505:C519)=0,"",SUMIF(E505:E519,"Transfer Bank",D505:D519))</f>
        <v/>
      </c>
      <c r="G520" s="19">
        <f>IF(COUNTA(C505:C519)=0,"",SUMIF(F505:F519,"Ambil Obat",G505:G519))</f>
        <v/>
      </c>
      <c r="H520" s="20">
        <f>IF(COUNTA(C505:C519)=0,"",SUMIFS(G505:G519,H505:H519,"Cash",F505:F519,"Ambil Obat"))</f>
        <v/>
      </c>
      <c r="I520" s="21">
        <f>IF(COUNTA(C505:C519)=0,"",SUMIFS(G505:G519,H505:H519,"Transfer Bank",F505:F519,"Ambil Obat"))</f>
        <v/>
      </c>
      <c r="J520" s="22" t="n"/>
      <c r="K520" s="23">
        <f>IF(COUNTA(C505:C519)=0,"",D520+G520)</f>
        <v/>
      </c>
    </row>
    <row r="521" ht="24" customHeight="1" s="314">
      <c r="A521" s="249" t="inlineStr">
        <is>
          <t>📅  Kamis, 28 Mei 2026</t>
        </is>
      </c>
      <c r="B521" s="5" t="n"/>
      <c r="C521" s="5" t="n"/>
      <c r="D521" s="5" t="n"/>
      <c r="E521" s="5" t="n"/>
      <c r="F521" s="5" t="n"/>
      <c r="G521" s="5" t="n"/>
      <c r="H521" s="5" t="n"/>
      <c r="I521" s="5" t="n"/>
      <c r="J521" s="4" t="inlineStr">
        <is>
          <t>dr. ARIF</t>
        </is>
      </c>
      <c r="K521" s="5" t="n"/>
    </row>
    <row r="522" ht="21.75" customHeight="1" s="314">
      <c r="A522" s="6">
        <f>IF(C522="","",856)</f>
        <v/>
      </c>
      <c r="B522" s="7" t="n">
        <v>46170</v>
      </c>
      <c r="C522" s="8" t="n"/>
      <c r="D522" s="9" t="n"/>
      <c r="E522" s="10" t="inlineStr">
        <is>
          <t>▼</t>
        </is>
      </c>
      <c r="F522" s="10" t="inlineStr">
        <is>
          <t>▼</t>
        </is>
      </c>
      <c r="G522" s="9" t="n"/>
      <c r="H522" s="10" t="inlineStr">
        <is>
          <t>▼</t>
        </is>
      </c>
      <c r="I522" s="11">
        <f>IF(C522="","",D522+IF(F522="Ambil Obat",IF(G522="",0,G522),0))</f>
        <v/>
      </c>
      <c r="J522" s="12">
        <f>$J$521</f>
        <v/>
      </c>
      <c r="K522" s="13" t="inlineStr">
        <is>
          <t>▼</t>
        </is>
      </c>
    </row>
    <row r="523" ht="21.75" customHeight="1" s="314">
      <c r="A523" s="32">
        <f>IF(C523="","",857)</f>
        <v/>
      </c>
      <c r="B523" s="7" t="n">
        <v>46170</v>
      </c>
      <c r="C523" s="14" t="n"/>
      <c r="D523" s="16" t="n"/>
      <c r="E523" s="15" t="inlineStr">
        <is>
          <t>▼</t>
        </is>
      </c>
      <c r="F523" s="15" t="inlineStr">
        <is>
          <t>▼</t>
        </is>
      </c>
      <c r="G523" s="16" t="n"/>
      <c r="H523" s="15" t="inlineStr">
        <is>
          <t>▼</t>
        </is>
      </c>
      <c r="I523" s="17">
        <f>IF(C523="","",D523+IF(F523="Ambil Obat",IF(G523="",0,G523),0))</f>
        <v/>
      </c>
      <c r="J523" s="12">
        <f>$J$521</f>
        <v/>
      </c>
      <c r="K523" s="18" t="inlineStr">
        <is>
          <t>▼</t>
        </is>
      </c>
    </row>
    <row r="524" ht="21.75" customHeight="1" s="314">
      <c r="A524" s="6">
        <f>IF(C524="","",858)</f>
        <v/>
      </c>
      <c r="B524" s="7" t="n">
        <v>46170</v>
      </c>
      <c r="C524" s="8" t="n"/>
      <c r="D524" s="9" t="n"/>
      <c r="E524" s="10" t="inlineStr">
        <is>
          <t>▼</t>
        </is>
      </c>
      <c r="F524" s="10" t="inlineStr">
        <is>
          <t>▼</t>
        </is>
      </c>
      <c r="G524" s="9" t="n"/>
      <c r="H524" s="10" t="inlineStr">
        <is>
          <t>▼</t>
        </is>
      </c>
      <c r="I524" s="11">
        <f>IF(C524="","",D524+IF(F524="Ambil Obat",IF(G524="",0,G524),0))</f>
        <v/>
      </c>
      <c r="J524" s="12">
        <f>$J$521</f>
        <v/>
      </c>
      <c r="K524" s="13" t="inlineStr">
        <is>
          <t>▼</t>
        </is>
      </c>
    </row>
    <row r="525" ht="21.75" customHeight="1" s="314">
      <c r="A525" s="32">
        <f>IF(C525="","",859)</f>
        <v/>
      </c>
      <c r="B525" s="7" t="n">
        <v>46170</v>
      </c>
      <c r="C525" s="14" t="n"/>
      <c r="D525" s="16" t="n"/>
      <c r="E525" s="15" t="inlineStr">
        <is>
          <t>▼</t>
        </is>
      </c>
      <c r="F525" s="15" t="inlineStr">
        <is>
          <t>▼</t>
        </is>
      </c>
      <c r="G525" s="16" t="n"/>
      <c r="H525" s="15" t="inlineStr">
        <is>
          <t>▼</t>
        </is>
      </c>
      <c r="I525" s="17">
        <f>IF(C525="","",D525+IF(F525="Ambil Obat",IF(G525="",0,G525),0))</f>
        <v/>
      </c>
      <c r="J525" s="12">
        <f>$J$521</f>
        <v/>
      </c>
      <c r="K525" s="18" t="inlineStr">
        <is>
          <t>▼</t>
        </is>
      </c>
    </row>
    <row r="526" ht="21.75" customHeight="1" s="314">
      <c r="A526" s="6">
        <f>IF(C526="","",860)</f>
        <v/>
      </c>
      <c r="B526" s="7" t="n">
        <v>46170</v>
      </c>
      <c r="C526" s="8" t="n"/>
      <c r="D526" s="9" t="n"/>
      <c r="E526" s="10" t="inlineStr">
        <is>
          <t>▼</t>
        </is>
      </c>
      <c r="F526" s="10" t="inlineStr">
        <is>
          <t>▼</t>
        </is>
      </c>
      <c r="G526" s="9" t="n"/>
      <c r="H526" s="10" t="inlineStr">
        <is>
          <t>▼</t>
        </is>
      </c>
      <c r="I526" s="11">
        <f>IF(C526="","",D526+IF(F526="Ambil Obat",IF(G526="",0,G526),0))</f>
        <v/>
      </c>
      <c r="J526" s="12">
        <f>$J$521</f>
        <v/>
      </c>
      <c r="K526" s="13" t="inlineStr">
        <is>
          <t>▼</t>
        </is>
      </c>
    </row>
    <row r="527" ht="21.75" customHeight="1" s="314">
      <c r="A527" s="32">
        <f>IF(C527="","",861)</f>
        <v/>
      </c>
      <c r="B527" s="7" t="n">
        <v>46170</v>
      </c>
      <c r="C527" s="14" t="n"/>
      <c r="D527" s="16" t="n"/>
      <c r="E527" s="15" t="inlineStr">
        <is>
          <t>▼</t>
        </is>
      </c>
      <c r="F527" s="15" t="inlineStr">
        <is>
          <t>▼</t>
        </is>
      </c>
      <c r="G527" s="16" t="n"/>
      <c r="H527" s="15" t="inlineStr">
        <is>
          <t>▼</t>
        </is>
      </c>
      <c r="I527" s="17">
        <f>IF(C527="","",D527+IF(F527="Ambil Obat",IF(G527="",0,G527),0))</f>
        <v/>
      </c>
      <c r="J527" s="12">
        <f>$J$521</f>
        <v/>
      </c>
      <c r="K527" s="18" t="inlineStr">
        <is>
          <t>▼</t>
        </is>
      </c>
    </row>
    <row r="528" ht="21.75" customHeight="1" s="314">
      <c r="A528" s="6">
        <f>IF(C528="","",862)</f>
        <v/>
      </c>
      <c r="B528" s="7" t="n">
        <v>46170</v>
      </c>
      <c r="C528" s="8" t="n"/>
      <c r="D528" s="9" t="n"/>
      <c r="E528" s="10" t="inlineStr">
        <is>
          <t>▼</t>
        </is>
      </c>
      <c r="F528" s="10" t="inlineStr">
        <is>
          <t>▼</t>
        </is>
      </c>
      <c r="G528" s="9" t="n"/>
      <c r="H528" s="10" t="inlineStr">
        <is>
          <t>▼</t>
        </is>
      </c>
      <c r="I528" s="11">
        <f>IF(C528="","",D528+IF(F528="Ambil Obat",IF(G528="",0,G528),0))</f>
        <v/>
      </c>
      <c r="J528" s="12">
        <f>$J$521</f>
        <v/>
      </c>
      <c r="K528" s="13" t="inlineStr">
        <is>
          <t>▼</t>
        </is>
      </c>
    </row>
    <row r="529" ht="21.75" customHeight="1" s="314">
      <c r="A529" s="32">
        <f>IF(C529="","",863)</f>
        <v/>
      </c>
      <c r="B529" s="7" t="n">
        <v>46170</v>
      </c>
      <c r="C529" s="14" t="n"/>
      <c r="D529" s="16" t="n"/>
      <c r="E529" s="15" t="inlineStr">
        <is>
          <t>▼</t>
        </is>
      </c>
      <c r="F529" s="15" t="inlineStr">
        <is>
          <t>▼</t>
        </is>
      </c>
      <c r="G529" s="16" t="n"/>
      <c r="H529" s="15" t="inlineStr">
        <is>
          <t>▼</t>
        </is>
      </c>
      <c r="I529" s="17">
        <f>IF(C529="","",D529+IF(F529="Ambil Obat",IF(G529="",0,G529),0))</f>
        <v/>
      </c>
      <c r="J529" s="12">
        <f>$J$521</f>
        <v/>
      </c>
      <c r="K529" s="18" t="inlineStr">
        <is>
          <t>▼</t>
        </is>
      </c>
    </row>
    <row r="530" ht="21.75" customHeight="1" s="314">
      <c r="A530" s="6">
        <f>IF(C530="","",864)</f>
        <v/>
      </c>
      <c r="B530" s="7" t="n">
        <v>46170</v>
      </c>
      <c r="C530" s="8" t="n"/>
      <c r="D530" s="9" t="n"/>
      <c r="E530" s="10" t="inlineStr">
        <is>
          <t>▼</t>
        </is>
      </c>
      <c r="F530" s="10" t="inlineStr">
        <is>
          <t>▼</t>
        </is>
      </c>
      <c r="G530" s="9" t="n"/>
      <c r="H530" s="10" t="inlineStr">
        <is>
          <t>▼</t>
        </is>
      </c>
      <c r="I530" s="11">
        <f>IF(C530="","",D530+IF(F530="Ambil Obat",IF(G530="",0,G530),0))</f>
        <v/>
      </c>
      <c r="J530" s="12">
        <f>$J$521</f>
        <v/>
      </c>
      <c r="K530" s="13" t="inlineStr">
        <is>
          <t>▼</t>
        </is>
      </c>
    </row>
    <row r="531" ht="21.75" customHeight="1" s="314">
      <c r="A531" s="32">
        <f>IF(C531="","",865)</f>
        <v/>
      </c>
      <c r="B531" s="7" t="n">
        <v>46170</v>
      </c>
      <c r="C531" s="14" t="n"/>
      <c r="D531" s="16" t="n"/>
      <c r="E531" s="15" t="inlineStr">
        <is>
          <t>▼</t>
        </is>
      </c>
      <c r="F531" s="15" t="inlineStr">
        <is>
          <t>▼</t>
        </is>
      </c>
      <c r="G531" s="16" t="n"/>
      <c r="H531" s="15" t="inlineStr">
        <is>
          <t>▼</t>
        </is>
      </c>
      <c r="I531" s="17">
        <f>IF(C531="","",D531+IF(F531="Ambil Obat",IF(G531="",0,G531),0))</f>
        <v/>
      </c>
      <c r="J531" s="12">
        <f>$J$521</f>
        <v/>
      </c>
      <c r="K531" s="18" t="inlineStr">
        <is>
          <t>▼</t>
        </is>
      </c>
    </row>
    <row r="532" ht="21.75" customHeight="1" s="314">
      <c r="A532" s="6">
        <f>IF(C532="","",866)</f>
        <v/>
      </c>
      <c r="B532" s="7" t="n">
        <v>46170</v>
      </c>
      <c r="C532" s="8" t="n"/>
      <c r="D532" s="9" t="n"/>
      <c r="E532" s="10" t="inlineStr">
        <is>
          <t>▼</t>
        </is>
      </c>
      <c r="F532" s="10" t="inlineStr">
        <is>
          <t>▼</t>
        </is>
      </c>
      <c r="G532" s="9" t="n"/>
      <c r="H532" s="10" t="inlineStr">
        <is>
          <t>▼</t>
        </is>
      </c>
      <c r="I532" s="11">
        <f>IF(C532="","",D532+IF(F532="Ambil Obat",IF(G532="",0,G532),0))</f>
        <v/>
      </c>
      <c r="J532" s="12">
        <f>$J$521</f>
        <v/>
      </c>
      <c r="K532" s="13" t="inlineStr">
        <is>
          <t>▼</t>
        </is>
      </c>
    </row>
    <row r="533" ht="21.75" customHeight="1" s="314">
      <c r="A533" s="32">
        <f>IF(C533="","",867)</f>
        <v/>
      </c>
      <c r="B533" s="7" t="n">
        <v>46170</v>
      </c>
      <c r="C533" s="14" t="n"/>
      <c r="D533" s="16" t="n"/>
      <c r="E533" s="15" t="inlineStr">
        <is>
          <t>▼</t>
        </is>
      </c>
      <c r="F533" s="15" t="inlineStr">
        <is>
          <t>▼</t>
        </is>
      </c>
      <c r="G533" s="16" t="n"/>
      <c r="H533" s="15" t="inlineStr">
        <is>
          <t>▼</t>
        </is>
      </c>
      <c r="I533" s="17">
        <f>IF(C533="","",D533+IF(F533="Ambil Obat",IF(G533="",0,G533),0))</f>
        <v/>
      </c>
      <c r="J533" s="12">
        <f>$J$521</f>
        <v/>
      </c>
      <c r="K533" s="18" t="inlineStr">
        <is>
          <t>▼</t>
        </is>
      </c>
    </row>
    <row r="534" ht="21.75" customHeight="1" s="314">
      <c r="A534" s="6">
        <f>IF(C534="","",868)</f>
        <v/>
      </c>
      <c r="B534" s="7" t="n">
        <v>46170</v>
      </c>
      <c r="C534" s="8" t="n"/>
      <c r="D534" s="9" t="n"/>
      <c r="E534" s="10" t="inlineStr">
        <is>
          <t>▼</t>
        </is>
      </c>
      <c r="F534" s="10" t="inlineStr">
        <is>
          <t>▼</t>
        </is>
      </c>
      <c r="G534" s="9" t="n"/>
      <c r="H534" s="10" t="inlineStr">
        <is>
          <t>▼</t>
        </is>
      </c>
      <c r="I534" s="11">
        <f>IF(C534="","",D534+IF(F534="Ambil Obat",IF(G534="",0,G534),0))</f>
        <v/>
      </c>
      <c r="J534" s="12">
        <f>$J$521</f>
        <v/>
      </c>
      <c r="K534" s="13" t="inlineStr">
        <is>
          <t>▼</t>
        </is>
      </c>
    </row>
    <row r="535" ht="21.75" customHeight="1" s="314">
      <c r="A535" s="32">
        <f>IF(C535="","",869)</f>
        <v/>
      </c>
      <c r="B535" s="7" t="n">
        <v>46170</v>
      </c>
      <c r="C535" s="14" t="n"/>
      <c r="D535" s="16" t="n"/>
      <c r="E535" s="15" t="inlineStr">
        <is>
          <t>▼</t>
        </is>
      </c>
      <c r="F535" s="15" t="inlineStr">
        <is>
          <t>▼</t>
        </is>
      </c>
      <c r="G535" s="16" t="n"/>
      <c r="H535" s="15" t="inlineStr">
        <is>
          <t>▼</t>
        </is>
      </c>
      <c r="I535" s="17">
        <f>IF(C535="","",D535+IF(F535="Ambil Obat",IF(G535="",0,G535),0))</f>
        <v/>
      </c>
      <c r="J535" s="12">
        <f>$J$521</f>
        <v/>
      </c>
      <c r="K535" s="18" t="inlineStr">
        <is>
          <t>▼</t>
        </is>
      </c>
    </row>
    <row r="536" ht="21.75" customHeight="1" s="314">
      <c r="A536" s="6">
        <f>IF(C536="","",870)</f>
        <v/>
      </c>
      <c r="B536" s="7" t="n">
        <v>46170</v>
      </c>
      <c r="C536" s="8" t="n"/>
      <c r="D536" s="9" t="n"/>
      <c r="E536" s="10" t="inlineStr">
        <is>
          <t>▼</t>
        </is>
      </c>
      <c r="F536" s="10" t="inlineStr">
        <is>
          <t>▼</t>
        </is>
      </c>
      <c r="G536" s="9" t="n"/>
      <c r="H536" s="10" t="inlineStr">
        <is>
          <t>▼</t>
        </is>
      </c>
      <c r="I536" s="11">
        <f>IF(C536="","",D536+IF(F536="Ambil Obat",IF(G536="",0,G536),0))</f>
        <v/>
      </c>
      <c r="J536" s="12">
        <f>$J$521</f>
        <v/>
      </c>
      <c r="K536" s="13" t="inlineStr">
        <is>
          <t>▼</t>
        </is>
      </c>
    </row>
    <row r="537" ht="24" customHeight="1" s="314">
      <c r="A537" s="248">
        <f>IF(COUNTA(C522:C536)=0,"— belum ada data —","📊 Sub-total  "&amp; TEXT(B522,"DD MMM YYYY") &amp;"  ("&amp;COUNTA(C522:C536)&amp;" pasien)")</f>
        <v/>
      </c>
      <c r="B537" s="316" t="n"/>
      <c r="C537" s="316" t="n"/>
      <c r="D537" s="19">
        <f>IF(COUNTA(C522:C536)=0,"",SUM(D522:D536))</f>
        <v/>
      </c>
      <c r="E537" s="20">
        <f>IF(COUNTA(C522:C536)=0,"",SUMIF(E522:E536,"Cash",D522:D536))</f>
        <v/>
      </c>
      <c r="F537" s="21">
        <f>IF(COUNTA(C522:C536)=0,"",SUMIF(E522:E536,"Transfer Bank",D522:D536))</f>
        <v/>
      </c>
      <c r="G537" s="19">
        <f>IF(COUNTA(C522:C536)=0,"",SUMIF(F522:F536,"Ambil Obat",G522:G536))</f>
        <v/>
      </c>
      <c r="H537" s="20">
        <f>IF(COUNTA(C522:C536)=0,"",SUMIFS(G522:G536,H522:H536,"Cash",F522:F536,"Ambil Obat"))</f>
        <v/>
      </c>
      <c r="I537" s="21">
        <f>IF(COUNTA(C522:C536)=0,"",SUMIFS(G522:G536,H522:H536,"Transfer Bank",F522:F536,"Ambil Obat"))</f>
        <v/>
      </c>
      <c r="J537" s="22" t="n"/>
      <c r="K537" s="23">
        <f>IF(COUNTA(C522:C536)=0,"",D537+G537)</f>
        <v/>
      </c>
    </row>
    <row r="538" ht="24" customHeight="1" s="314">
      <c r="A538" s="249" t="inlineStr">
        <is>
          <t>📅  Jumat, 29 Mei 2026</t>
        </is>
      </c>
      <c r="B538" s="5" t="n"/>
      <c r="C538" s="5" t="n"/>
      <c r="D538" s="5" t="n"/>
      <c r="E538" s="5" t="n"/>
      <c r="F538" s="5" t="n"/>
      <c r="G538" s="5" t="n"/>
      <c r="H538" s="5" t="n"/>
      <c r="I538" s="5" t="n"/>
      <c r="J538" s="4" t="inlineStr">
        <is>
          <t>dr. JOJO</t>
        </is>
      </c>
      <c r="K538" s="5" t="n"/>
    </row>
    <row r="539" ht="21.75" customHeight="1" s="314">
      <c r="A539" s="6">
        <f>IF(C539="","",871)</f>
        <v/>
      </c>
      <c r="B539" s="7" t="n">
        <v>46171</v>
      </c>
      <c r="C539" s="8" t="n"/>
      <c r="D539" s="9" t="n"/>
      <c r="E539" s="10" t="inlineStr">
        <is>
          <t>▼</t>
        </is>
      </c>
      <c r="F539" s="10" t="inlineStr">
        <is>
          <t>▼</t>
        </is>
      </c>
      <c r="G539" s="9" t="n"/>
      <c r="H539" s="10" t="inlineStr">
        <is>
          <t>▼</t>
        </is>
      </c>
      <c r="I539" s="11">
        <f>IF(C539="","",D539+IF(F539="Ambil Obat",IF(G539="",0,G539),0))</f>
        <v/>
      </c>
      <c r="J539" s="12">
        <f>$J$538</f>
        <v/>
      </c>
      <c r="K539" s="13" t="inlineStr">
        <is>
          <t>▼</t>
        </is>
      </c>
    </row>
    <row r="540" ht="21.75" customHeight="1" s="314">
      <c r="A540" s="32">
        <f>IF(C540="","",872)</f>
        <v/>
      </c>
      <c r="B540" s="7" t="n">
        <v>46171</v>
      </c>
      <c r="C540" s="14" t="n"/>
      <c r="D540" s="16" t="n"/>
      <c r="E540" s="15" t="inlineStr">
        <is>
          <t>▼</t>
        </is>
      </c>
      <c r="F540" s="15" t="inlineStr">
        <is>
          <t>▼</t>
        </is>
      </c>
      <c r="G540" s="16" t="n"/>
      <c r="H540" s="15" t="inlineStr">
        <is>
          <t>▼</t>
        </is>
      </c>
      <c r="I540" s="17">
        <f>IF(C540="","",D540+IF(F540="Ambil Obat",IF(G540="",0,G540),0))</f>
        <v/>
      </c>
      <c r="J540" s="12">
        <f>$J$538</f>
        <v/>
      </c>
      <c r="K540" s="18" t="inlineStr">
        <is>
          <t>▼</t>
        </is>
      </c>
    </row>
    <row r="541" ht="21.75" customHeight="1" s="314">
      <c r="A541" s="6">
        <f>IF(C541="","",873)</f>
        <v/>
      </c>
      <c r="B541" s="7" t="n">
        <v>46171</v>
      </c>
      <c r="C541" s="8" t="n"/>
      <c r="D541" s="9" t="n"/>
      <c r="E541" s="10" t="inlineStr">
        <is>
          <t>▼</t>
        </is>
      </c>
      <c r="F541" s="10" t="inlineStr">
        <is>
          <t>▼</t>
        </is>
      </c>
      <c r="G541" s="9" t="n"/>
      <c r="H541" s="10" t="inlineStr">
        <is>
          <t>▼</t>
        </is>
      </c>
      <c r="I541" s="11">
        <f>IF(C541="","",D541+IF(F541="Ambil Obat",IF(G541="",0,G541),0))</f>
        <v/>
      </c>
      <c r="J541" s="12">
        <f>$J$538</f>
        <v/>
      </c>
      <c r="K541" s="13" t="inlineStr">
        <is>
          <t>▼</t>
        </is>
      </c>
    </row>
    <row r="542" ht="21.75" customHeight="1" s="314">
      <c r="A542" s="32">
        <f>IF(C542="","",874)</f>
        <v/>
      </c>
      <c r="B542" s="7" t="n">
        <v>46171</v>
      </c>
      <c r="C542" s="14" t="n"/>
      <c r="D542" s="16" t="n"/>
      <c r="E542" s="15" t="inlineStr">
        <is>
          <t>▼</t>
        </is>
      </c>
      <c r="F542" s="15" t="inlineStr">
        <is>
          <t>▼</t>
        </is>
      </c>
      <c r="G542" s="16" t="n"/>
      <c r="H542" s="15" t="inlineStr">
        <is>
          <t>▼</t>
        </is>
      </c>
      <c r="I542" s="17">
        <f>IF(C542="","",D542+IF(F542="Ambil Obat",IF(G542="",0,G542),0))</f>
        <v/>
      </c>
      <c r="J542" s="12">
        <f>$J$538</f>
        <v/>
      </c>
      <c r="K542" s="18" t="inlineStr">
        <is>
          <t>▼</t>
        </is>
      </c>
    </row>
    <row r="543" ht="21.75" customHeight="1" s="314">
      <c r="A543" s="6">
        <f>IF(C543="","",875)</f>
        <v/>
      </c>
      <c r="B543" s="7" t="n">
        <v>46171</v>
      </c>
      <c r="C543" s="8" t="n"/>
      <c r="D543" s="9" t="n"/>
      <c r="E543" s="10" t="inlineStr">
        <is>
          <t>▼</t>
        </is>
      </c>
      <c r="F543" s="10" t="inlineStr">
        <is>
          <t>▼</t>
        </is>
      </c>
      <c r="G543" s="9" t="n"/>
      <c r="H543" s="10" t="inlineStr">
        <is>
          <t>▼</t>
        </is>
      </c>
      <c r="I543" s="11">
        <f>IF(C543="","",D543+IF(F543="Ambil Obat",IF(G543="",0,G543),0))</f>
        <v/>
      </c>
      <c r="J543" s="12">
        <f>$J$538</f>
        <v/>
      </c>
      <c r="K543" s="13" t="inlineStr">
        <is>
          <t>▼</t>
        </is>
      </c>
    </row>
    <row r="544" ht="21.75" customHeight="1" s="314">
      <c r="A544" s="32">
        <f>IF(C544="","",876)</f>
        <v/>
      </c>
      <c r="B544" s="7" t="n">
        <v>46171</v>
      </c>
      <c r="C544" s="14" t="n"/>
      <c r="D544" s="16" t="n"/>
      <c r="E544" s="15" t="inlineStr">
        <is>
          <t>▼</t>
        </is>
      </c>
      <c r="F544" s="15" t="inlineStr">
        <is>
          <t>▼</t>
        </is>
      </c>
      <c r="G544" s="16" t="n"/>
      <c r="H544" s="15" t="inlineStr">
        <is>
          <t>▼</t>
        </is>
      </c>
      <c r="I544" s="17">
        <f>IF(C544="","",D544+IF(F544="Ambil Obat",IF(G544="",0,G544),0))</f>
        <v/>
      </c>
      <c r="J544" s="12">
        <f>$J$538</f>
        <v/>
      </c>
      <c r="K544" s="18" t="inlineStr">
        <is>
          <t>▼</t>
        </is>
      </c>
    </row>
    <row r="545" ht="21.75" customHeight="1" s="314">
      <c r="A545" s="6">
        <f>IF(C545="","",877)</f>
        <v/>
      </c>
      <c r="B545" s="7" t="n">
        <v>46171</v>
      </c>
      <c r="C545" s="8" t="n"/>
      <c r="D545" s="9" t="n"/>
      <c r="E545" s="10" t="inlineStr">
        <is>
          <t>▼</t>
        </is>
      </c>
      <c r="F545" s="10" t="inlineStr">
        <is>
          <t>▼</t>
        </is>
      </c>
      <c r="G545" s="9" t="n"/>
      <c r="H545" s="10" t="inlineStr">
        <is>
          <t>▼</t>
        </is>
      </c>
      <c r="I545" s="11">
        <f>IF(C545="","",D545+IF(F545="Ambil Obat",IF(G545="",0,G545),0))</f>
        <v/>
      </c>
      <c r="J545" s="12">
        <f>$J$538</f>
        <v/>
      </c>
      <c r="K545" s="13" t="inlineStr">
        <is>
          <t>▼</t>
        </is>
      </c>
    </row>
    <row r="546" ht="21.75" customHeight="1" s="314">
      <c r="A546" s="32">
        <f>IF(C546="","",878)</f>
        <v/>
      </c>
      <c r="B546" s="7" t="n">
        <v>46171</v>
      </c>
      <c r="C546" s="14" t="n"/>
      <c r="D546" s="16" t="n"/>
      <c r="E546" s="15" t="inlineStr">
        <is>
          <t>▼</t>
        </is>
      </c>
      <c r="F546" s="15" t="inlineStr">
        <is>
          <t>▼</t>
        </is>
      </c>
      <c r="G546" s="16" t="n"/>
      <c r="H546" s="15" t="inlineStr">
        <is>
          <t>▼</t>
        </is>
      </c>
      <c r="I546" s="17">
        <f>IF(C546="","",D546+IF(F546="Ambil Obat",IF(G546="",0,G546),0))</f>
        <v/>
      </c>
      <c r="J546" s="12">
        <f>$J$538</f>
        <v/>
      </c>
      <c r="K546" s="18" t="inlineStr">
        <is>
          <t>▼</t>
        </is>
      </c>
    </row>
    <row r="547" ht="21.75" customHeight="1" s="314">
      <c r="A547" s="6">
        <f>IF(C547="","",879)</f>
        <v/>
      </c>
      <c r="B547" s="7" t="n">
        <v>46171</v>
      </c>
      <c r="C547" s="8" t="n"/>
      <c r="D547" s="9" t="n"/>
      <c r="E547" s="10" t="inlineStr">
        <is>
          <t>▼</t>
        </is>
      </c>
      <c r="F547" s="10" t="inlineStr">
        <is>
          <t>▼</t>
        </is>
      </c>
      <c r="G547" s="9" t="n"/>
      <c r="H547" s="10" t="inlineStr">
        <is>
          <t>▼</t>
        </is>
      </c>
      <c r="I547" s="11">
        <f>IF(C547="","",D547+IF(F547="Ambil Obat",IF(G547="",0,G547),0))</f>
        <v/>
      </c>
      <c r="J547" s="12">
        <f>$J$538</f>
        <v/>
      </c>
      <c r="K547" s="13" t="inlineStr">
        <is>
          <t>▼</t>
        </is>
      </c>
    </row>
    <row r="548" ht="21.75" customHeight="1" s="314">
      <c r="A548" s="32">
        <f>IF(C548="","",880)</f>
        <v/>
      </c>
      <c r="B548" s="7" t="n">
        <v>46171</v>
      </c>
      <c r="C548" s="14" t="n"/>
      <c r="D548" s="16" t="n"/>
      <c r="E548" s="15" t="inlineStr">
        <is>
          <t>▼</t>
        </is>
      </c>
      <c r="F548" s="15" t="inlineStr">
        <is>
          <t>▼</t>
        </is>
      </c>
      <c r="G548" s="16" t="n"/>
      <c r="H548" s="15" t="inlineStr">
        <is>
          <t>▼</t>
        </is>
      </c>
      <c r="I548" s="17">
        <f>IF(C548="","",D548+IF(F548="Ambil Obat",IF(G548="",0,G548),0))</f>
        <v/>
      </c>
      <c r="J548" s="12">
        <f>$J$538</f>
        <v/>
      </c>
      <c r="K548" s="18" t="inlineStr">
        <is>
          <t>▼</t>
        </is>
      </c>
    </row>
    <row r="549" ht="21.75" customHeight="1" s="314">
      <c r="A549" s="6">
        <f>IF(C549="","",881)</f>
        <v/>
      </c>
      <c r="B549" s="7" t="n">
        <v>46171</v>
      </c>
      <c r="C549" s="8" t="n"/>
      <c r="D549" s="9" t="n"/>
      <c r="E549" s="10" t="inlineStr">
        <is>
          <t>▼</t>
        </is>
      </c>
      <c r="F549" s="10" t="inlineStr">
        <is>
          <t>▼</t>
        </is>
      </c>
      <c r="G549" s="9" t="n"/>
      <c r="H549" s="10" t="inlineStr">
        <is>
          <t>▼</t>
        </is>
      </c>
      <c r="I549" s="11">
        <f>IF(C549="","",D549+IF(F549="Ambil Obat",IF(G549="",0,G549),0))</f>
        <v/>
      </c>
      <c r="J549" s="12">
        <f>$J$538</f>
        <v/>
      </c>
      <c r="K549" s="13" t="inlineStr">
        <is>
          <t>▼</t>
        </is>
      </c>
    </row>
    <row r="550" ht="21.75" customHeight="1" s="314">
      <c r="A550" s="32">
        <f>IF(C550="","",882)</f>
        <v/>
      </c>
      <c r="B550" s="7" t="n">
        <v>46171</v>
      </c>
      <c r="C550" s="14" t="n"/>
      <c r="D550" s="16" t="n"/>
      <c r="E550" s="15" t="inlineStr">
        <is>
          <t>▼</t>
        </is>
      </c>
      <c r="F550" s="15" t="inlineStr">
        <is>
          <t>▼</t>
        </is>
      </c>
      <c r="G550" s="16" t="n"/>
      <c r="H550" s="15" t="inlineStr">
        <is>
          <t>▼</t>
        </is>
      </c>
      <c r="I550" s="17">
        <f>IF(C550="","",D550+IF(F550="Ambil Obat",IF(G550="",0,G550),0))</f>
        <v/>
      </c>
      <c r="J550" s="12">
        <f>$J$538</f>
        <v/>
      </c>
      <c r="K550" s="18" t="inlineStr">
        <is>
          <t>▼</t>
        </is>
      </c>
    </row>
    <row r="551" ht="21.75" customHeight="1" s="314">
      <c r="A551" s="6">
        <f>IF(C551="","",883)</f>
        <v/>
      </c>
      <c r="B551" s="7" t="n">
        <v>46171</v>
      </c>
      <c r="C551" s="8" t="n"/>
      <c r="D551" s="9" t="n"/>
      <c r="E551" s="10" t="inlineStr">
        <is>
          <t>▼</t>
        </is>
      </c>
      <c r="F551" s="10" t="inlineStr">
        <is>
          <t>▼</t>
        </is>
      </c>
      <c r="G551" s="9" t="n"/>
      <c r="H551" s="10" t="inlineStr">
        <is>
          <t>▼</t>
        </is>
      </c>
      <c r="I551" s="11">
        <f>IF(C551="","",D551+IF(F551="Ambil Obat",IF(G551="",0,G551),0))</f>
        <v/>
      </c>
      <c r="J551" s="12">
        <f>$J$538</f>
        <v/>
      </c>
      <c r="K551" s="13" t="inlineStr">
        <is>
          <t>▼</t>
        </is>
      </c>
    </row>
    <row r="552" ht="21.75" customHeight="1" s="314">
      <c r="A552" s="32">
        <f>IF(C552="","",884)</f>
        <v/>
      </c>
      <c r="B552" s="7" t="n">
        <v>46171</v>
      </c>
      <c r="C552" s="14" t="n"/>
      <c r="D552" s="16" t="n"/>
      <c r="E552" s="15" t="inlineStr">
        <is>
          <t>▼</t>
        </is>
      </c>
      <c r="F552" s="15" t="inlineStr">
        <is>
          <t>▼</t>
        </is>
      </c>
      <c r="G552" s="16" t="n"/>
      <c r="H552" s="15" t="inlineStr">
        <is>
          <t>▼</t>
        </is>
      </c>
      <c r="I552" s="17">
        <f>IF(C552="","",D552+IF(F552="Ambil Obat",IF(G552="",0,G552),0))</f>
        <v/>
      </c>
      <c r="J552" s="12">
        <f>$J$538</f>
        <v/>
      </c>
      <c r="K552" s="18" t="inlineStr">
        <is>
          <t>▼</t>
        </is>
      </c>
    </row>
    <row r="553" ht="21.75" customHeight="1" s="314">
      <c r="A553" s="6">
        <f>IF(C553="","",885)</f>
        <v/>
      </c>
      <c r="B553" s="7" t="n">
        <v>46171</v>
      </c>
      <c r="C553" s="8" t="n"/>
      <c r="D553" s="9" t="n"/>
      <c r="E553" s="10" t="inlineStr">
        <is>
          <t>▼</t>
        </is>
      </c>
      <c r="F553" s="10" t="inlineStr">
        <is>
          <t>▼</t>
        </is>
      </c>
      <c r="G553" s="9" t="n"/>
      <c r="H553" s="10" t="inlineStr">
        <is>
          <t>▼</t>
        </is>
      </c>
      <c r="I553" s="11">
        <f>IF(C553="","",D553+IF(F553="Ambil Obat",IF(G553="",0,G553),0))</f>
        <v/>
      </c>
      <c r="J553" s="12">
        <f>$J$538</f>
        <v/>
      </c>
      <c r="K553" s="13" t="inlineStr">
        <is>
          <t>▼</t>
        </is>
      </c>
    </row>
    <row r="554" ht="24" customHeight="1" s="314">
      <c r="A554" s="248">
        <f>IF(COUNTA(C539:C553)=0,"— belum ada data —","📊 Sub-total  "&amp; TEXT(B539,"DD MMM YYYY") &amp;"  ("&amp;COUNTA(C539:C553)&amp;" pasien)")</f>
        <v/>
      </c>
      <c r="B554" s="316" t="n"/>
      <c r="C554" s="316" t="n"/>
      <c r="D554" s="19">
        <f>IF(COUNTA(C539:C553)=0,"",SUM(D539:D553))</f>
        <v/>
      </c>
      <c r="E554" s="20">
        <f>IF(COUNTA(C539:C553)=0,"",SUMIF(E539:E553,"Cash",D539:D553))</f>
        <v/>
      </c>
      <c r="F554" s="21">
        <f>IF(COUNTA(C539:C553)=0,"",SUMIF(E539:E553,"Transfer Bank",D539:D553))</f>
        <v/>
      </c>
      <c r="G554" s="19">
        <f>IF(COUNTA(C539:C553)=0,"",SUMIF(F539:F553,"Ambil Obat",G539:G553))</f>
        <v/>
      </c>
      <c r="H554" s="20">
        <f>IF(COUNTA(C539:C553)=0,"",SUMIFS(G539:G553,H539:H553,"Cash",F539:F553,"Ambil Obat"))</f>
        <v/>
      </c>
      <c r="I554" s="21">
        <f>IF(COUNTA(C539:C553)=0,"",SUMIFS(G539:G553,H539:H553,"Transfer Bank",F539:F553,"Ambil Obat"))</f>
        <v/>
      </c>
      <c r="J554" s="22" t="n"/>
      <c r="K554" s="23">
        <f>IF(COUNTA(C539:C553)=0,"",D554+G554)</f>
        <v/>
      </c>
    </row>
    <row r="555" ht="24" customHeight="1" s="314">
      <c r="A555" s="249" t="inlineStr">
        <is>
          <t>📅  Sabtu, 30 Mei 2026</t>
        </is>
      </c>
      <c r="B555" s="5" t="n"/>
      <c r="C555" s="5" t="n"/>
      <c r="D555" s="5" t="n"/>
      <c r="E555" s="5" t="n"/>
      <c r="F555" s="5" t="n"/>
      <c r="G555" s="5" t="n"/>
      <c r="H555" s="5" t="n"/>
      <c r="I555" s="5" t="n"/>
      <c r="J555" s="4" t="inlineStr">
        <is>
          <t>dr. HAWA</t>
        </is>
      </c>
      <c r="K555" s="5" t="n"/>
    </row>
    <row r="556" ht="21.75" customHeight="1" s="314">
      <c r="A556" s="6">
        <f>IF(C556="","",886)</f>
        <v/>
      </c>
      <c r="B556" s="7" t="n">
        <v>46172</v>
      </c>
      <c r="C556" s="8" t="n"/>
      <c r="D556" s="9" t="n"/>
      <c r="E556" s="10" t="inlineStr">
        <is>
          <t>▼</t>
        </is>
      </c>
      <c r="F556" s="10" t="inlineStr">
        <is>
          <t>▼</t>
        </is>
      </c>
      <c r="G556" s="9" t="n"/>
      <c r="H556" s="10" t="inlineStr">
        <is>
          <t>▼</t>
        </is>
      </c>
      <c r="I556" s="11">
        <f>IF(C556="","",D556+IF(F556="Ambil Obat",IF(G556="",0,G556),0))</f>
        <v/>
      </c>
      <c r="J556" s="12">
        <f>$J$555</f>
        <v/>
      </c>
      <c r="K556" s="13" t="inlineStr">
        <is>
          <t>▼</t>
        </is>
      </c>
    </row>
    <row r="557" ht="21.75" customHeight="1" s="314">
      <c r="A557" s="32">
        <f>IF(C557="","",887)</f>
        <v/>
      </c>
      <c r="B557" s="7" t="n">
        <v>46172</v>
      </c>
      <c r="C557" s="14" t="n"/>
      <c r="D557" s="16" t="n"/>
      <c r="E557" s="15" t="inlineStr">
        <is>
          <t>▼</t>
        </is>
      </c>
      <c r="F557" s="15" t="inlineStr">
        <is>
          <t>▼</t>
        </is>
      </c>
      <c r="G557" s="16" t="n"/>
      <c r="H557" s="15" t="inlineStr">
        <is>
          <t>▼</t>
        </is>
      </c>
      <c r="I557" s="17">
        <f>IF(C557="","",D557+IF(F557="Ambil Obat",IF(G557="",0,G557),0))</f>
        <v/>
      </c>
      <c r="J557" s="12">
        <f>$J$555</f>
        <v/>
      </c>
      <c r="K557" s="18" t="inlineStr">
        <is>
          <t>▼</t>
        </is>
      </c>
    </row>
    <row r="558" ht="21.75" customHeight="1" s="314">
      <c r="A558" s="6">
        <f>IF(C558="","",888)</f>
        <v/>
      </c>
      <c r="B558" s="7" t="n">
        <v>46172</v>
      </c>
      <c r="C558" s="8" t="n"/>
      <c r="D558" s="9" t="n"/>
      <c r="E558" s="10" t="inlineStr">
        <is>
          <t>▼</t>
        </is>
      </c>
      <c r="F558" s="10" t="inlineStr">
        <is>
          <t>▼</t>
        </is>
      </c>
      <c r="G558" s="9" t="n"/>
      <c r="H558" s="10" t="inlineStr">
        <is>
          <t>▼</t>
        </is>
      </c>
      <c r="I558" s="11">
        <f>IF(C558="","",D558+IF(F558="Ambil Obat",IF(G558="",0,G558),0))</f>
        <v/>
      </c>
      <c r="J558" s="12">
        <f>$J$555</f>
        <v/>
      </c>
      <c r="K558" s="13" t="inlineStr">
        <is>
          <t>▼</t>
        </is>
      </c>
    </row>
    <row r="559" ht="21.75" customHeight="1" s="314">
      <c r="A559" s="32">
        <f>IF(C559="","",889)</f>
        <v/>
      </c>
      <c r="B559" s="7" t="n">
        <v>46172</v>
      </c>
      <c r="C559" s="14" t="n"/>
      <c r="D559" s="16" t="n"/>
      <c r="E559" s="15" t="inlineStr">
        <is>
          <t>▼</t>
        </is>
      </c>
      <c r="F559" s="15" t="inlineStr">
        <is>
          <t>▼</t>
        </is>
      </c>
      <c r="G559" s="16" t="n"/>
      <c r="H559" s="15" t="inlineStr">
        <is>
          <t>▼</t>
        </is>
      </c>
      <c r="I559" s="17">
        <f>IF(C559="","",D559+IF(F559="Ambil Obat",IF(G559="",0,G559),0))</f>
        <v/>
      </c>
      <c r="J559" s="12">
        <f>$J$555</f>
        <v/>
      </c>
      <c r="K559" s="18" t="inlineStr">
        <is>
          <t>▼</t>
        </is>
      </c>
    </row>
    <row r="560" ht="21.75" customHeight="1" s="314">
      <c r="A560" s="6">
        <f>IF(C560="","",890)</f>
        <v/>
      </c>
      <c r="B560" s="7" t="n">
        <v>46172</v>
      </c>
      <c r="C560" s="8" t="n"/>
      <c r="D560" s="9" t="n"/>
      <c r="E560" s="10" t="inlineStr">
        <is>
          <t>▼</t>
        </is>
      </c>
      <c r="F560" s="10" t="inlineStr">
        <is>
          <t>▼</t>
        </is>
      </c>
      <c r="G560" s="9" t="n"/>
      <c r="H560" s="10" t="inlineStr">
        <is>
          <t>▼</t>
        </is>
      </c>
      <c r="I560" s="11">
        <f>IF(C560="","",D560+IF(F560="Ambil Obat",IF(G560="",0,G560),0))</f>
        <v/>
      </c>
      <c r="J560" s="12">
        <f>$J$555</f>
        <v/>
      </c>
      <c r="K560" s="13" t="inlineStr">
        <is>
          <t>▼</t>
        </is>
      </c>
    </row>
    <row r="561" ht="21.75" customHeight="1" s="314">
      <c r="A561" s="32">
        <f>IF(C561="","",891)</f>
        <v/>
      </c>
      <c r="B561" s="7" t="n">
        <v>46172</v>
      </c>
      <c r="C561" s="14" t="n"/>
      <c r="D561" s="16" t="n"/>
      <c r="E561" s="15" t="inlineStr">
        <is>
          <t>▼</t>
        </is>
      </c>
      <c r="F561" s="15" t="inlineStr">
        <is>
          <t>▼</t>
        </is>
      </c>
      <c r="G561" s="16" t="n"/>
      <c r="H561" s="15" t="inlineStr">
        <is>
          <t>▼</t>
        </is>
      </c>
      <c r="I561" s="17">
        <f>IF(C561="","",D561+IF(F561="Ambil Obat",IF(G561="",0,G561),0))</f>
        <v/>
      </c>
      <c r="J561" s="12">
        <f>$J$555</f>
        <v/>
      </c>
      <c r="K561" s="18" t="inlineStr">
        <is>
          <t>▼</t>
        </is>
      </c>
    </row>
    <row r="562" ht="21.75" customHeight="1" s="314">
      <c r="A562" s="6">
        <f>IF(C562="","",892)</f>
        <v/>
      </c>
      <c r="B562" s="7" t="n">
        <v>46172</v>
      </c>
      <c r="C562" s="8" t="n"/>
      <c r="D562" s="9" t="n"/>
      <c r="E562" s="10" t="inlineStr">
        <is>
          <t>▼</t>
        </is>
      </c>
      <c r="F562" s="10" t="inlineStr">
        <is>
          <t>▼</t>
        </is>
      </c>
      <c r="G562" s="9" t="n"/>
      <c r="H562" s="10" t="inlineStr">
        <is>
          <t>▼</t>
        </is>
      </c>
      <c r="I562" s="11">
        <f>IF(C562="","",D562+IF(F562="Ambil Obat",IF(G562="",0,G562),0))</f>
        <v/>
      </c>
      <c r="J562" s="12">
        <f>$J$555</f>
        <v/>
      </c>
      <c r="K562" s="13" t="inlineStr">
        <is>
          <t>▼</t>
        </is>
      </c>
    </row>
    <row r="563" ht="21.75" customHeight="1" s="314">
      <c r="A563" s="32">
        <f>IF(C563="","",893)</f>
        <v/>
      </c>
      <c r="B563" s="7" t="n">
        <v>46172</v>
      </c>
      <c r="C563" s="14" t="n"/>
      <c r="D563" s="16" t="n"/>
      <c r="E563" s="15" t="inlineStr">
        <is>
          <t>▼</t>
        </is>
      </c>
      <c r="F563" s="15" t="inlineStr">
        <is>
          <t>▼</t>
        </is>
      </c>
      <c r="G563" s="16" t="n"/>
      <c r="H563" s="15" t="inlineStr">
        <is>
          <t>▼</t>
        </is>
      </c>
      <c r="I563" s="17">
        <f>IF(C563="","",D563+IF(F563="Ambil Obat",IF(G563="",0,G563),0))</f>
        <v/>
      </c>
      <c r="J563" s="12">
        <f>$J$555</f>
        <v/>
      </c>
      <c r="K563" s="18" t="inlineStr">
        <is>
          <t>▼</t>
        </is>
      </c>
    </row>
    <row r="564" ht="21.75" customHeight="1" s="314">
      <c r="A564" s="6">
        <f>IF(C564="","",894)</f>
        <v/>
      </c>
      <c r="B564" s="7" t="n">
        <v>46172</v>
      </c>
      <c r="C564" s="8" t="n"/>
      <c r="D564" s="9" t="n"/>
      <c r="E564" s="10" t="inlineStr">
        <is>
          <t>▼</t>
        </is>
      </c>
      <c r="F564" s="10" t="inlineStr">
        <is>
          <t>▼</t>
        </is>
      </c>
      <c r="G564" s="9" t="n"/>
      <c r="H564" s="10" t="inlineStr">
        <is>
          <t>▼</t>
        </is>
      </c>
      <c r="I564" s="11">
        <f>IF(C564="","",D564+IF(F564="Ambil Obat",IF(G564="",0,G564),0))</f>
        <v/>
      </c>
      <c r="J564" s="12">
        <f>$J$555</f>
        <v/>
      </c>
      <c r="K564" s="13" t="inlineStr">
        <is>
          <t>▼</t>
        </is>
      </c>
    </row>
    <row r="565" ht="21.75" customHeight="1" s="314">
      <c r="A565" s="32">
        <f>IF(C565="","",895)</f>
        <v/>
      </c>
      <c r="B565" s="7" t="n">
        <v>46172</v>
      </c>
      <c r="C565" s="14" t="n"/>
      <c r="D565" s="16" t="n"/>
      <c r="E565" s="15" t="inlineStr">
        <is>
          <t>▼</t>
        </is>
      </c>
      <c r="F565" s="15" t="inlineStr">
        <is>
          <t>▼</t>
        </is>
      </c>
      <c r="G565" s="16" t="n"/>
      <c r="H565" s="15" t="inlineStr">
        <is>
          <t>▼</t>
        </is>
      </c>
      <c r="I565" s="17">
        <f>IF(C565="","",D565+IF(F565="Ambil Obat",IF(G565="",0,G565),0))</f>
        <v/>
      </c>
      <c r="J565" s="12">
        <f>$J$555</f>
        <v/>
      </c>
      <c r="K565" s="18" t="inlineStr">
        <is>
          <t>▼</t>
        </is>
      </c>
    </row>
    <row r="566" ht="21.75" customHeight="1" s="314">
      <c r="A566" s="6">
        <f>IF(C566="","",896)</f>
        <v/>
      </c>
      <c r="B566" s="7" t="n">
        <v>46172</v>
      </c>
      <c r="C566" s="8" t="n"/>
      <c r="D566" s="9" t="n"/>
      <c r="E566" s="10" t="inlineStr">
        <is>
          <t>▼</t>
        </is>
      </c>
      <c r="F566" s="10" t="inlineStr">
        <is>
          <t>▼</t>
        </is>
      </c>
      <c r="G566" s="9" t="n"/>
      <c r="H566" s="10" t="inlineStr">
        <is>
          <t>▼</t>
        </is>
      </c>
      <c r="I566" s="11">
        <f>IF(C566="","",D566+IF(F566="Ambil Obat",IF(G566="",0,G566),0))</f>
        <v/>
      </c>
      <c r="J566" s="12">
        <f>$J$555</f>
        <v/>
      </c>
      <c r="K566" s="13" t="inlineStr">
        <is>
          <t>▼</t>
        </is>
      </c>
    </row>
    <row r="567" ht="21.75" customHeight="1" s="314">
      <c r="A567" s="32">
        <f>IF(C567="","",897)</f>
        <v/>
      </c>
      <c r="B567" s="7" t="n">
        <v>46172</v>
      </c>
      <c r="C567" s="14" t="n"/>
      <c r="D567" s="16" t="n"/>
      <c r="E567" s="15" t="inlineStr">
        <is>
          <t>▼</t>
        </is>
      </c>
      <c r="F567" s="15" t="inlineStr">
        <is>
          <t>▼</t>
        </is>
      </c>
      <c r="G567" s="16" t="n"/>
      <c r="H567" s="15" t="inlineStr">
        <is>
          <t>▼</t>
        </is>
      </c>
      <c r="I567" s="17">
        <f>IF(C567="","",D567+IF(F567="Ambil Obat",IF(G567="",0,G567),0))</f>
        <v/>
      </c>
      <c r="J567" s="12">
        <f>$J$555</f>
        <v/>
      </c>
      <c r="K567" s="18" t="inlineStr">
        <is>
          <t>▼</t>
        </is>
      </c>
    </row>
    <row r="568" ht="21.75" customHeight="1" s="314">
      <c r="A568" s="6">
        <f>IF(C568="","",898)</f>
        <v/>
      </c>
      <c r="B568" s="7" t="n">
        <v>46172</v>
      </c>
      <c r="C568" s="8" t="n"/>
      <c r="D568" s="9" t="n"/>
      <c r="E568" s="10" t="inlineStr">
        <is>
          <t>▼</t>
        </is>
      </c>
      <c r="F568" s="10" t="inlineStr">
        <is>
          <t>▼</t>
        </is>
      </c>
      <c r="G568" s="9" t="n"/>
      <c r="H568" s="10" t="inlineStr">
        <is>
          <t>▼</t>
        </is>
      </c>
      <c r="I568" s="11">
        <f>IF(C568="","",D568+IF(F568="Ambil Obat",IF(G568="",0,G568),0))</f>
        <v/>
      </c>
      <c r="J568" s="12">
        <f>$J$555</f>
        <v/>
      </c>
      <c r="K568" s="13" t="inlineStr">
        <is>
          <t>▼</t>
        </is>
      </c>
    </row>
    <row r="569" ht="21.75" customHeight="1" s="314">
      <c r="A569" s="32">
        <f>IF(C569="","",899)</f>
        <v/>
      </c>
      <c r="B569" s="7" t="n">
        <v>46172</v>
      </c>
      <c r="C569" s="14" t="n"/>
      <c r="D569" s="16" t="n"/>
      <c r="E569" s="15" t="inlineStr">
        <is>
          <t>▼</t>
        </is>
      </c>
      <c r="F569" s="15" t="inlineStr">
        <is>
          <t>▼</t>
        </is>
      </c>
      <c r="G569" s="16" t="n"/>
      <c r="H569" s="15" t="inlineStr">
        <is>
          <t>▼</t>
        </is>
      </c>
      <c r="I569" s="17">
        <f>IF(C569="","",D569+IF(F569="Ambil Obat",IF(G569="",0,G569),0))</f>
        <v/>
      </c>
      <c r="J569" s="12">
        <f>$J$555</f>
        <v/>
      </c>
      <c r="K569" s="18" t="inlineStr">
        <is>
          <t>▼</t>
        </is>
      </c>
    </row>
    <row r="570" ht="21.75" customHeight="1" s="314">
      <c r="A570" s="6">
        <f>IF(C570="","",900)</f>
        <v/>
      </c>
      <c r="B570" s="7" t="n">
        <v>46172</v>
      </c>
      <c r="C570" s="8" t="n"/>
      <c r="D570" s="9" t="n"/>
      <c r="E570" s="10" t="inlineStr">
        <is>
          <t>▼</t>
        </is>
      </c>
      <c r="F570" s="10" t="inlineStr">
        <is>
          <t>▼</t>
        </is>
      </c>
      <c r="G570" s="9" t="n"/>
      <c r="H570" s="10" t="inlineStr">
        <is>
          <t>▼</t>
        </is>
      </c>
      <c r="I570" s="11">
        <f>IF(C570="","",D570+IF(F570="Ambil Obat",IF(G570="",0,G570),0))</f>
        <v/>
      </c>
      <c r="J570" s="12">
        <f>$J$555</f>
        <v/>
      </c>
      <c r="K570" s="13" t="inlineStr">
        <is>
          <t>▼</t>
        </is>
      </c>
    </row>
    <row r="571" ht="24" customHeight="1" s="314">
      <c r="A571" s="248">
        <f>IF(COUNTA(C556:C570)=0,"— belum ada data —","📊 Sub-total  "&amp; TEXT(B556,"DD MMM YYYY") &amp;"  ("&amp;COUNTA(C556:C570)&amp;" pasien)")</f>
        <v/>
      </c>
      <c r="B571" s="316" t="n"/>
      <c r="C571" s="316" t="n"/>
      <c r="D571" s="19">
        <f>IF(COUNTA(C556:C570)=0,"",SUM(D556:D570))</f>
        <v/>
      </c>
      <c r="E571" s="20">
        <f>IF(COUNTA(C556:C570)=0,"",SUMIF(E556:E570,"Cash",D556:D570))</f>
        <v/>
      </c>
      <c r="F571" s="21">
        <f>IF(COUNTA(C556:C570)=0,"",SUMIF(E556:E570,"Transfer Bank",D556:D570))</f>
        <v/>
      </c>
      <c r="G571" s="19">
        <f>IF(COUNTA(C556:C570)=0,"",SUMIF(F556:F570,"Ambil Obat",G556:G570))</f>
        <v/>
      </c>
      <c r="H571" s="20">
        <f>IF(COUNTA(C556:C570)=0,"",SUMIFS(G556:G570,H556:H570,"Cash",F556:F570,"Ambil Obat"))</f>
        <v/>
      </c>
      <c r="I571" s="21">
        <f>IF(COUNTA(C556:C570)=0,"",SUMIFS(G556:G570,H556:H570,"Transfer Bank",F556:F570,"Ambil Obat"))</f>
        <v/>
      </c>
      <c r="J571" s="22" t="n"/>
      <c r="K571" s="23">
        <f>IF(COUNTA(C556:C570)=0,"",D571+G571)</f>
        <v/>
      </c>
    </row>
    <row r="572" ht="24" customHeight="1" s="314">
      <c r="A572" s="249" t="inlineStr">
        <is>
          <t>📅  Minggu, 31 Mei 2026</t>
        </is>
      </c>
      <c r="B572" s="5" t="n"/>
      <c r="C572" s="5" t="n"/>
      <c r="D572" s="5" t="n"/>
      <c r="E572" s="5" t="n"/>
      <c r="F572" s="5" t="n"/>
      <c r="G572" s="5" t="n"/>
      <c r="H572" s="5" t="n"/>
      <c r="I572" s="5" t="n"/>
      <c r="J572" s="4" t="inlineStr">
        <is>
          <t>dr. HAWA</t>
        </is>
      </c>
      <c r="K572" s="5" t="n"/>
    </row>
    <row r="573" ht="21.75" customHeight="1" s="314">
      <c r="A573" s="6">
        <f>IF(C573="","",901)</f>
        <v/>
      </c>
      <c r="B573" s="7" t="n">
        <v>46173</v>
      </c>
      <c r="C573" s="8" t="n"/>
      <c r="D573" s="9" t="n"/>
      <c r="E573" s="10" t="inlineStr">
        <is>
          <t>▼</t>
        </is>
      </c>
      <c r="F573" s="10" t="inlineStr">
        <is>
          <t>▼</t>
        </is>
      </c>
      <c r="G573" s="9" t="n"/>
      <c r="H573" s="10" t="inlineStr">
        <is>
          <t>▼</t>
        </is>
      </c>
      <c r="I573" s="11">
        <f>IF(C573="","",D573+IF(F573="Ambil Obat",IF(G573="",0,G573),0))</f>
        <v/>
      </c>
      <c r="J573" s="12">
        <f>$J$572</f>
        <v/>
      </c>
      <c r="K573" s="13" t="inlineStr">
        <is>
          <t>▼</t>
        </is>
      </c>
    </row>
    <row r="574" ht="21.75" customHeight="1" s="314">
      <c r="A574" s="32">
        <f>IF(C574="","",902)</f>
        <v/>
      </c>
      <c r="B574" s="7" t="n">
        <v>46173</v>
      </c>
      <c r="C574" s="14" t="n"/>
      <c r="D574" s="16" t="n"/>
      <c r="E574" s="15" t="inlineStr">
        <is>
          <t>▼</t>
        </is>
      </c>
      <c r="F574" s="15" t="inlineStr">
        <is>
          <t>▼</t>
        </is>
      </c>
      <c r="G574" s="16" t="n"/>
      <c r="H574" s="15" t="inlineStr">
        <is>
          <t>▼</t>
        </is>
      </c>
      <c r="I574" s="17">
        <f>IF(C574="","",D574+IF(F574="Ambil Obat",IF(G574="",0,G574),0))</f>
        <v/>
      </c>
      <c r="J574" s="12">
        <f>$J$572</f>
        <v/>
      </c>
      <c r="K574" s="18" t="inlineStr">
        <is>
          <t>▼</t>
        </is>
      </c>
    </row>
    <row r="575" ht="21.75" customHeight="1" s="314">
      <c r="A575" s="6">
        <f>IF(C575="","",903)</f>
        <v/>
      </c>
      <c r="B575" s="7" t="n">
        <v>46173</v>
      </c>
      <c r="C575" s="8" t="n"/>
      <c r="D575" s="9" t="n"/>
      <c r="E575" s="10" t="inlineStr">
        <is>
          <t>▼</t>
        </is>
      </c>
      <c r="F575" s="10" t="inlineStr">
        <is>
          <t>▼</t>
        </is>
      </c>
      <c r="G575" s="9" t="n"/>
      <c r="H575" s="10" t="inlineStr">
        <is>
          <t>▼</t>
        </is>
      </c>
      <c r="I575" s="11">
        <f>IF(C575="","",D575+IF(F575="Ambil Obat",IF(G575="",0,G575),0))</f>
        <v/>
      </c>
      <c r="J575" s="12">
        <f>$J$572</f>
        <v/>
      </c>
      <c r="K575" s="13" t="inlineStr">
        <is>
          <t>▼</t>
        </is>
      </c>
    </row>
    <row r="576" ht="21.75" customHeight="1" s="314">
      <c r="A576" s="32">
        <f>IF(C576="","",904)</f>
        <v/>
      </c>
      <c r="B576" s="7" t="n">
        <v>46173</v>
      </c>
      <c r="C576" s="14" t="n"/>
      <c r="D576" s="16" t="n"/>
      <c r="E576" s="15" t="inlineStr">
        <is>
          <t>▼</t>
        </is>
      </c>
      <c r="F576" s="15" t="inlineStr">
        <is>
          <t>▼</t>
        </is>
      </c>
      <c r="G576" s="16" t="n"/>
      <c r="H576" s="15" t="inlineStr">
        <is>
          <t>▼</t>
        </is>
      </c>
      <c r="I576" s="17">
        <f>IF(C576="","",D576+IF(F576="Ambil Obat",IF(G576="",0,G576),0))</f>
        <v/>
      </c>
      <c r="J576" s="12">
        <f>$J$572</f>
        <v/>
      </c>
      <c r="K576" s="18" t="inlineStr">
        <is>
          <t>▼</t>
        </is>
      </c>
    </row>
    <row r="577" ht="21.75" customHeight="1" s="314">
      <c r="A577" s="6">
        <f>IF(C577="","",905)</f>
        <v/>
      </c>
      <c r="B577" s="7" t="n">
        <v>46173</v>
      </c>
      <c r="C577" s="8" t="n"/>
      <c r="D577" s="9" t="n"/>
      <c r="E577" s="10" t="inlineStr">
        <is>
          <t>▼</t>
        </is>
      </c>
      <c r="F577" s="10" t="inlineStr">
        <is>
          <t>▼</t>
        </is>
      </c>
      <c r="G577" s="9" t="n"/>
      <c r="H577" s="10" t="inlineStr">
        <is>
          <t>▼</t>
        </is>
      </c>
      <c r="I577" s="11">
        <f>IF(C577="","",D577+IF(F577="Ambil Obat",IF(G577="",0,G577),0))</f>
        <v/>
      </c>
      <c r="J577" s="12">
        <f>$J$572</f>
        <v/>
      </c>
      <c r="K577" s="13" t="inlineStr">
        <is>
          <t>▼</t>
        </is>
      </c>
    </row>
    <row r="578" ht="21.75" customHeight="1" s="314">
      <c r="A578" s="32">
        <f>IF(C578="","",906)</f>
        <v/>
      </c>
      <c r="B578" s="7" t="n">
        <v>46173</v>
      </c>
      <c r="C578" s="14" t="n"/>
      <c r="D578" s="16" t="n"/>
      <c r="E578" s="15" t="inlineStr">
        <is>
          <t>▼</t>
        </is>
      </c>
      <c r="F578" s="15" t="inlineStr">
        <is>
          <t>▼</t>
        </is>
      </c>
      <c r="G578" s="16" t="n"/>
      <c r="H578" s="15" t="inlineStr">
        <is>
          <t>▼</t>
        </is>
      </c>
      <c r="I578" s="17">
        <f>IF(C578="","",D578+IF(F578="Ambil Obat",IF(G578="",0,G578),0))</f>
        <v/>
      </c>
      <c r="J578" s="12">
        <f>$J$572</f>
        <v/>
      </c>
      <c r="K578" s="18" t="inlineStr">
        <is>
          <t>▼</t>
        </is>
      </c>
    </row>
    <row r="579" ht="21.75" customHeight="1" s="314">
      <c r="A579" s="6">
        <f>IF(C579="","",907)</f>
        <v/>
      </c>
      <c r="B579" s="7" t="n">
        <v>46173</v>
      </c>
      <c r="C579" s="8" t="n"/>
      <c r="D579" s="9" t="n"/>
      <c r="E579" s="10" t="inlineStr">
        <is>
          <t>▼</t>
        </is>
      </c>
      <c r="F579" s="10" t="inlineStr">
        <is>
          <t>▼</t>
        </is>
      </c>
      <c r="G579" s="9" t="n"/>
      <c r="H579" s="10" t="inlineStr">
        <is>
          <t>▼</t>
        </is>
      </c>
      <c r="I579" s="11">
        <f>IF(C579="","",D579+IF(F579="Ambil Obat",IF(G579="",0,G579),0))</f>
        <v/>
      </c>
      <c r="J579" s="12">
        <f>$J$572</f>
        <v/>
      </c>
      <c r="K579" s="13" t="inlineStr">
        <is>
          <t>▼</t>
        </is>
      </c>
    </row>
    <row r="580" ht="21.75" customHeight="1" s="314">
      <c r="A580" s="32">
        <f>IF(C580="","",908)</f>
        <v/>
      </c>
      <c r="B580" s="7" t="n">
        <v>46173</v>
      </c>
      <c r="C580" s="14" t="n"/>
      <c r="D580" s="16" t="n"/>
      <c r="E580" s="15" t="inlineStr">
        <is>
          <t>▼</t>
        </is>
      </c>
      <c r="F580" s="15" t="inlineStr">
        <is>
          <t>▼</t>
        </is>
      </c>
      <c r="G580" s="16" t="n"/>
      <c r="H580" s="15" t="inlineStr">
        <is>
          <t>▼</t>
        </is>
      </c>
      <c r="I580" s="17">
        <f>IF(C580="","",D580+IF(F580="Ambil Obat",IF(G580="",0,G580),0))</f>
        <v/>
      </c>
      <c r="J580" s="12">
        <f>$J$572</f>
        <v/>
      </c>
      <c r="K580" s="18" t="inlineStr">
        <is>
          <t>▼</t>
        </is>
      </c>
    </row>
    <row r="581" ht="21.75" customHeight="1" s="314">
      <c r="A581" s="6">
        <f>IF(C581="","",909)</f>
        <v/>
      </c>
      <c r="B581" s="7" t="n">
        <v>46173</v>
      </c>
      <c r="C581" s="8" t="n"/>
      <c r="D581" s="9" t="n"/>
      <c r="E581" s="10" t="inlineStr">
        <is>
          <t>▼</t>
        </is>
      </c>
      <c r="F581" s="10" t="inlineStr">
        <is>
          <t>▼</t>
        </is>
      </c>
      <c r="G581" s="9" t="n"/>
      <c r="H581" s="10" t="inlineStr">
        <is>
          <t>▼</t>
        </is>
      </c>
      <c r="I581" s="11">
        <f>IF(C581="","",D581+IF(F581="Ambil Obat",IF(G581="",0,G581),0))</f>
        <v/>
      </c>
      <c r="J581" s="12">
        <f>$J$572</f>
        <v/>
      </c>
      <c r="K581" s="13" t="inlineStr">
        <is>
          <t>▼</t>
        </is>
      </c>
    </row>
    <row r="582" ht="21.75" customHeight="1" s="314">
      <c r="A582" s="32">
        <f>IF(C582="","",910)</f>
        <v/>
      </c>
      <c r="B582" s="7" t="n">
        <v>46173</v>
      </c>
      <c r="C582" s="14" t="n"/>
      <c r="D582" s="16" t="n"/>
      <c r="E582" s="15" t="inlineStr">
        <is>
          <t>▼</t>
        </is>
      </c>
      <c r="F582" s="15" t="inlineStr">
        <is>
          <t>▼</t>
        </is>
      </c>
      <c r="G582" s="16" t="n"/>
      <c r="H582" s="15" t="inlineStr">
        <is>
          <t>▼</t>
        </is>
      </c>
      <c r="I582" s="17">
        <f>IF(C582="","",D582+IF(F582="Ambil Obat",IF(G582="",0,G582),0))</f>
        <v/>
      </c>
      <c r="J582" s="12">
        <f>$J$572</f>
        <v/>
      </c>
      <c r="K582" s="18" t="inlineStr">
        <is>
          <t>▼</t>
        </is>
      </c>
    </row>
    <row r="583" ht="21.75" customHeight="1" s="314">
      <c r="A583" s="6">
        <f>IF(C583="","",911)</f>
        <v/>
      </c>
      <c r="B583" s="7" t="n">
        <v>46173</v>
      </c>
      <c r="C583" s="8" t="n"/>
      <c r="D583" s="9" t="n"/>
      <c r="E583" s="10" t="inlineStr">
        <is>
          <t>▼</t>
        </is>
      </c>
      <c r="F583" s="10" t="inlineStr">
        <is>
          <t>▼</t>
        </is>
      </c>
      <c r="G583" s="9" t="n"/>
      <c r="H583" s="10" t="inlineStr">
        <is>
          <t>▼</t>
        </is>
      </c>
      <c r="I583" s="11">
        <f>IF(C583="","",D583+IF(F583="Ambil Obat",IF(G583="",0,G583),0))</f>
        <v/>
      </c>
      <c r="J583" s="12">
        <f>$J$572</f>
        <v/>
      </c>
      <c r="K583" s="13" t="inlineStr">
        <is>
          <t>▼</t>
        </is>
      </c>
    </row>
    <row r="584" ht="21.75" customHeight="1" s="314">
      <c r="A584" s="32">
        <f>IF(C584="","",912)</f>
        <v/>
      </c>
      <c r="B584" s="7" t="n">
        <v>46173</v>
      </c>
      <c r="C584" s="14" t="n"/>
      <c r="D584" s="16" t="n"/>
      <c r="E584" s="15" t="inlineStr">
        <is>
          <t>▼</t>
        </is>
      </c>
      <c r="F584" s="15" t="inlineStr">
        <is>
          <t>▼</t>
        </is>
      </c>
      <c r="G584" s="16" t="n"/>
      <c r="H584" s="15" t="inlineStr">
        <is>
          <t>▼</t>
        </is>
      </c>
      <c r="I584" s="17">
        <f>IF(C584="","",D584+IF(F584="Ambil Obat",IF(G584="",0,G584),0))</f>
        <v/>
      </c>
      <c r="J584" s="12">
        <f>$J$572</f>
        <v/>
      </c>
      <c r="K584" s="18" t="inlineStr">
        <is>
          <t>▼</t>
        </is>
      </c>
    </row>
    <row r="585" ht="21.75" customHeight="1" s="314">
      <c r="A585" s="6">
        <f>IF(C585="","",913)</f>
        <v/>
      </c>
      <c r="B585" s="7" t="n">
        <v>46173</v>
      </c>
      <c r="C585" s="8" t="n"/>
      <c r="D585" s="9" t="n"/>
      <c r="E585" s="10" t="inlineStr">
        <is>
          <t>▼</t>
        </is>
      </c>
      <c r="F585" s="10" t="inlineStr">
        <is>
          <t>▼</t>
        </is>
      </c>
      <c r="G585" s="9" t="n"/>
      <c r="H585" s="10" t="inlineStr">
        <is>
          <t>▼</t>
        </is>
      </c>
      <c r="I585" s="11">
        <f>IF(C585="","",D585+IF(F585="Ambil Obat",IF(G585="",0,G585),0))</f>
        <v/>
      </c>
      <c r="J585" s="12">
        <f>$J$572</f>
        <v/>
      </c>
      <c r="K585" s="13" t="inlineStr">
        <is>
          <t>▼</t>
        </is>
      </c>
    </row>
    <row r="586" ht="21.75" customHeight="1" s="314">
      <c r="A586" s="32">
        <f>IF(C586="","",914)</f>
        <v/>
      </c>
      <c r="B586" s="7" t="n">
        <v>46173</v>
      </c>
      <c r="C586" s="14" t="n"/>
      <c r="D586" s="16" t="n"/>
      <c r="E586" s="15" t="inlineStr">
        <is>
          <t>▼</t>
        </is>
      </c>
      <c r="F586" s="15" t="inlineStr">
        <is>
          <t>▼</t>
        </is>
      </c>
      <c r="G586" s="16" t="n"/>
      <c r="H586" s="15" t="inlineStr">
        <is>
          <t>▼</t>
        </is>
      </c>
      <c r="I586" s="17">
        <f>IF(C586="","",D586+IF(F586="Ambil Obat",IF(G586="",0,G586),0))</f>
        <v/>
      </c>
      <c r="J586" s="12">
        <f>$J$572</f>
        <v/>
      </c>
      <c r="K586" s="18" t="inlineStr">
        <is>
          <t>▼</t>
        </is>
      </c>
    </row>
    <row r="587" ht="21.75" customHeight="1" s="314">
      <c r="A587" s="6">
        <f>IF(C587="","",915)</f>
        <v/>
      </c>
      <c r="B587" s="7" t="n">
        <v>46173</v>
      </c>
      <c r="C587" s="8" t="n"/>
      <c r="D587" s="9" t="n"/>
      <c r="E587" s="10" t="inlineStr">
        <is>
          <t>▼</t>
        </is>
      </c>
      <c r="F587" s="10" t="inlineStr">
        <is>
          <t>▼</t>
        </is>
      </c>
      <c r="G587" s="9" t="n"/>
      <c r="H587" s="10" t="inlineStr">
        <is>
          <t>▼</t>
        </is>
      </c>
      <c r="I587" s="11">
        <f>IF(C587="","",D587+IF(F587="Ambil Obat",IF(G587="",0,G587),0))</f>
        <v/>
      </c>
      <c r="J587" s="12">
        <f>$J$572</f>
        <v/>
      </c>
      <c r="K587" s="13" t="inlineStr">
        <is>
          <t>▼</t>
        </is>
      </c>
    </row>
    <row r="588" ht="24" customHeight="1" s="314">
      <c r="A588" s="248">
        <f>IF(COUNTA(C573:C587)=0,"— belum ada data —","📊 Sub-total  "&amp; TEXT(B573,"DD MMM YYYY") &amp;"  ("&amp;COUNTA(C573:C587)&amp;" pasien)")</f>
        <v/>
      </c>
      <c r="B588" s="316" t="n"/>
      <c r="C588" s="316" t="n"/>
      <c r="D588" s="19">
        <f>IF(COUNTA(C573:C587)=0,"",SUM(D573:D587))</f>
        <v/>
      </c>
      <c r="E588" s="20">
        <f>IF(COUNTA(C573:C587)=0,"",SUMIF(E573:E587,"Cash",D573:D587))</f>
        <v/>
      </c>
      <c r="F588" s="21">
        <f>IF(COUNTA(C573:C587)=0,"",SUMIF(E573:E587,"Transfer Bank",D573:D587))</f>
        <v/>
      </c>
      <c r="G588" s="19">
        <f>IF(COUNTA(C573:C587)=0,"",SUMIF(F573:F587,"Ambil Obat",G573:G587))</f>
        <v/>
      </c>
      <c r="H588" s="20">
        <f>IF(COUNTA(C573:C587)=0,"",SUMIFS(G573:G587,H573:H587,"Cash",F573:F587,"Ambil Obat"))</f>
        <v/>
      </c>
      <c r="I588" s="21">
        <f>IF(COUNTA(C573:C587)=0,"",SUMIFS(G573:G587,H573:H587,"Transfer Bank",F573:F587,"Ambil Obat"))</f>
        <v/>
      </c>
      <c r="J588" s="22" t="n"/>
      <c r="K588" s="23">
        <f>IF(COUNTA(C573:C587)=0,"",D588+G588)</f>
        <v/>
      </c>
    </row>
    <row r="589" ht="24" customHeight="1" s="314">
      <c r="A589" s="249" t="inlineStr">
        <is>
          <t>📅  Senin, 01 Juni 2026</t>
        </is>
      </c>
      <c r="B589" s="5" t="n"/>
      <c r="C589" s="5" t="n"/>
      <c r="D589" s="5" t="n"/>
      <c r="E589" s="5" t="n"/>
      <c r="F589" s="5" t="n"/>
      <c r="G589" s="5" t="n"/>
      <c r="H589" s="5" t="n"/>
      <c r="I589" s="5" t="n"/>
      <c r="J589" s="4" t="inlineStr">
        <is>
          <t>dr. JOJO</t>
        </is>
      </c>
      <c r="K589" s="5" t="n"/>
    </row>
    <row r="590" ht="21.75" customHeight="1" s="314">
      <c r="A590" s="6">
        <f>IF(C590="","",916)</f>
        <v/>
      </c>
      <c r="B590" s="7" t="n">
        <v>46174</v>
      </c>
      <c r="C590" s="8" t="n"/>
      <c r="D590" s="9" t="n"/>
      <c r="E590" s="10" t="inlineStr">
        <is>
          <t>▼</t>
        </is>
      </c>
      <c r="F590" s="10" t="inlineStr">
        <is>
          <t>▼</t>
        </is>
      </c>
      <c r="G590" s="9" t="n"/>
      <c r="H590" s="10" t="inlineStr">
        <is>
          <t>▼</t>
        </is>
      </c>
      <c r="I590" s="11">
        <f>IF(C590="","",D590+IF(F590="Ambil Obat",IF(G590="",0,G590),0))</f>
        <v/>
      </c>
      <c r="J590" s="12">
        <f>$J$589</f>
        <v/>
      </c>
      <c r="K590" s="13" t="inlineStr">
        <is>
          <t>▼</t>
        </is>
      </c>
    </row>
    <row r="591" ht="21.75" customHeight="1" s="314">
      <c r="A591" s="32">
        <f>IF(C591="","",917)</f>
        <v/>
      </c>
      <c r="B591" s="7" t="n">
        <v>46174</v>
      </c>
      <c r="C591" s="14" t="n"/>
      <c r="D591" s="16" t="n"/>
      <c r="E591" s="15" t="inlineStr">
        <is>
          <t>▼</t>
        </is>
      </c>
      <c r="F591" s="15" t="inlineStr">
        <is>
          <t>▼</t>
        </is>
      </c>
      <c r="G591" s="16" t="n"/>
      <c r="H591" s="15" t="inlineStr">
        <is>
          <t>▼</t>
        </is>
      </c>
      <c r="I591" s="17">
        <f>IF(C591="","",D591+IF(F591="Ambil Obat",IF(G591="",0,G591),0))</f>
        <v/>
      </c>
      <c r="J591" s="12">
        <f>$J$589</f>
        <v/>
      </c>
      <c r="K591" s="18" t="inlineStr">
        <is>
          <t>▼</t>
        </is>
      </c>
    </row>
    <row r="592" ht="21.75" customHeight="1" s="314">
      <c r="A592" s="6">
        <f>IF(C592="","",918)</f>
        <v/>
      </c>
      <c r="B592" s="7" t="n">
        <v>46174</v>
      </c>
      <c r="C592" s="8" t="n"/>
      <c r="D592" s="9" t="n"/>
      <c r="E592" s="10" t="inlineStr">
        <is>
          <t>▼</t>
        </is>
      </c>
      <c r="F592" s="10" t="inlineStr">
        <is>
          <t>▼</t>
        </is>
      </c>
      <c r="G592" s="9" t="n"/>
      <c r="H592" s="10" t="inlineStr">
        <is>
          <t>▼</t>
        </is>
      </c>
      <c r="I592" s="11">
        <f>IF(C592="","",D592+IF(F592="Ambil Obat",IF(G592="",0,G592),0))</f>
        <v/>
      </c>
      <c r="J592" s="12">
        <f>$J$589</f>
        <v/>
      </c>
      <c r="K592" s="13" t="inlineStr">
        <is>
          <t>▼</t>
        </is>
      </c>
    </row>
    <row r="593" ht="21.75" customHeight="1" s="314">
      <c r="A593" s="32">
        <f>IF(C593="","",919)</f>
        <v/>
      </c>
      <c r="B593" s="7" t="n">
        <v>46174</v>
      </c>
      <c r="C593" s="14" t="n"/>
      <c r="D593" s="16" t="n"/>
      <c r="E593" s="15" t="inlineStr">
        <is>
          <t>▼</t>
        </is>
      </c>
      <c r="F593" s="15" t="inlineStr">
        <is>
          <t>▼</t>
        </is>
      </c>
      <c r="G593" s="16" t="n"/>
      <c r="H593" s="15" t="inlineStr">
        <is>
          <t>▼</t>
        </is>
      </c>
      <c r="I593" s="17">
        <f>IF(C593="","",D593+IF(F593="Ambil Obat",IF(G593="",0,G593),0))</f>
        <v/>
      </c>
      <c r="J593" s="12">
        <f>$J$589</f>
        <v/>
      </c>
      <c r="K593" s="18" t="inlineStr">
        <is>
          <t>▼</t>
        </is>
      </c>
    </row>
    <row r="594" ht="21.75" customHeight="1" s="314">
      <c r="A594" s="6">
        <f>IF(C594="","",920)</f>
        <v/>
      </c>
      <c r="B594" s="7" t="n">
        <v>46174</v>
      </c>
      <c r="C594" s="8" t="n"/>
      <c r="D594" s="9" t="n"/>
      <c r="E594" s="10" t="inlineStr">
        <is>
          <t>▼</t>
        </is>
      </c>
      <c r="F594" s="10" t="inlineStr">
        <is>
          <t>▼</t>
        </is>
      </c>
      <c r="G594" s="9" t="n"/>
      <c r="H594" s="10" t="inlineStr">
        <is>
          <t>▼</t>
        </is>
      </c>
      <c r="I594" s="11">
        <f>IF(C594="","",D594+IF(F594="Ambil Obat",IF(G594="",0,G594),0))</f>
        <v/>
      </c>
      <c r="J594" s="12">
        <f>$J$589</f>
        <v/>
      </c>
      <c r="K594" s="13" t="inlineStr">
        <is>
          <t>▼</t>
        </is>
      </c>
    </row>
    <row r="595" ht="21.75" customHeight="1" s="314">
      <c r="A595" s="32">
        <f>IF(C595="","",921)</f>
        <v/>
      </c>
      <c r="B595" s="7" t="n">
        <v>46174</v>
      </c>
      <c r="C595" s="14" t="n"/>
      <c r="D595" s="16" t="n"/>
      <c r="E595" s="15" t="inlineStr">
        <is>
          <t>▼</t>
        </is>
      </c>
      <c r="F595" s="15" t="inlineStr">
        <is>
          <t>▼</t>
        </is>
      </c>
      <c r="G595" s="16" t="n"/>
      <c r="H595" s="15" t="inlineStr">
        <is>
          <t>▼</t>
        </is>
      </c>
      <c r="I595" s="17">
        <f>IF(C595="","",D595+IF(F595="Ambil Obat",IF(G595="",0,G595),0))</f>
        <v/>
      </c>
      <c r="J595" s="12">
        <f>$J$589</f>
        <v/>
      </c>
      <c r="K595" s="18" t="inlineStr">
        <is>
          <t>▼</t>
        </is>
      </c>
    </row>
    <row r="596" ht="21.75" customHeight="1" s="314">
      <c r="A596" s="6">
        <f>IF(C596="","",922)</f>
        <v/>
      </c>
      <c r="B596" s="7" t="n">
        <v>46174</v>
      </c>
      <c r="C596" s="8" t="n"/>
      <c r="D596" s="9" t="n"/>
      <c r="E596" s="10" t="inlineStr">
        <is>
          <t>▼</t>
        </is>
      </c>
      <c r="F596" s="10" t="inlineStr">
        <is>
          <t>▼</t>
        </is>
      </c>
      <c r="G596" s="9" t="n"/>
      <c r="H596" s="10" t="inlineStr">
        <is>
          <t>▼</t>
        </is>
      </c>
      <c r="I596" s="11">
        <f>IF(C596="","",D596+IF(F596="Ambil Obat",IF(G596="",0,G596),0))</f>
        <v/>
      </c>
      <c r="J596" s="12">
        <f>$J$589</f>
        <v/>
      </c>
      <c r="K596" s="13" t="inlineStr">
        <is>
          <t>▼</t>
        </is>
      </c>
    </row>
    <row r="597" ht="21.75" customHeight="1" s="314">
      <c r="A597" s="32">
        <f>IF(C597="","",923)</f>
        <v/>
      </c>
      <c r="B597" s="7" t="n">
        <v>46174</v>
      </c>
      <c r="C597" s="14" t="n"/>
      <c r="D597" s="16" t="n"/>
      <c r="E597" s="15" t="inlineStr">
        <is>
          <t>▼</t>
        </is>
      </c>
      <c r="F597" s="15" t="inlineStr">
        <is>
          <t>▼</t>
        </is>
      </c>
      <c r="G597" s="16" t="n"/>
      <c r="H597" s="15" t="inlineStr">
        <is>
          <t>▼</t>
        </is>
      </c>
      <c r="I597" s="17">
        <f>IF(C597="","",D597+IF(F597="Ambil Obat",IF(G597="",0,G597),0))</f>
        <v/>
      </c>
      <c r="J597" s="12">
        <f>$J$589</f>
        <v/>
      </c>
      <c r="K597" s="18" t="inlineStr">
        <is>
          <t>▼</t>
        </is>
      </c>
    </row>
    <row r="598" ht="21.75" customHeight="1" s="314">
      <c r="A598" s="6">
        <f>IF(C598="","",924)</f>
        <v/>
      </c>
      <c r="B598" s="7" t="n">
        <v>46174</v>
      </c>
      <c r="C598" s="8" t="n"/>
      <c r="D598" s="9" t="n"/>
      <c r="E598" s="10" t="inlineStr">
        <is>
          <t>▼</t>
        </is>
      </c>
      <c r="F598" s="10" t="inlineStr">
        <is>
          <t>▼</t>
        </is>
      </c>
      <c r="G598" s="9" t="n"/>
      <c r="H598" s="10" t="inlineStr">
        <is>
          <t>▼</t>
        </is>
      </c>
      <c r="I598" s="11">
        <f>IF(C598="","",D598+IF(F598="Ambil Obat",IF(G598="",0,G598),0))</f>
        <v/>
      </c>
      <c r="J598" s="12">
        <f>$J$589</f>
        <v/>
      </c>
      <c r="K598" s="13" t="inlineStr">
        <is>
          <t>▼</t>
        </is>
      </c>
    </row>
    <row r="599" ht="21.75" customHeight="1" s="314">
      <c r="A599" s="32">
        <f>IF(C599="","",925)</f>
        <v/>
      </c>
      <c r="B599" s="7" t="n">
        <v>46174</v>
      </c>
      <c r="C599" s="14" t="n"/>
      <c r="D599" s="16" t="n"/>
      <c r="E599" s="15" t="inlineStr">
        <is>
          <t>▼</t>
        </is>
      </c>
      <c r="F599" s="15" t="inlineStr">
        <is>
          <t>▼</t>
        </is>
      </c>
      <c r="G599" s="16" t="n"/>
      <c r="H599" s="15" t="inlineStr">
        <is>
          <t>▼</t>
        </is>
      </c>
      <c r="I599" s="17">
        <f>IF(C599="","",D599+IF(F599="Ambil Obat",IF(G599="",0,G599),0))</f>
        <v/>
      </c>
      <c r="J599" s="12">
        <f>$J$589</f>
        <v/>
      </c>
      <c r="K599" s="18" t="inlineStr">
        <is>
          <t>▼</t>
        </is>
      </c>
    </row>
    <row r="600" ht="21.75" customHeight="1" s="314">
      <c r="A600" s="6">
        <f>IF(C600="","",926)</f>
        <v/>
      </c>
      <c r="B600" s="7" t="n">
        <v>46174</v>
      </c>
      <c r="C600" s="8" t="n"/>
      <c r="D600" s="9" t="n"/>
      <c r="E600" s="10" t="inlineStr">
        <is>
          <t>▼</t>
        </is>
      </c>
      <c r="F600" s="10" t="inlineStr">
        <is>
          <t>▼</t>
        </is>
      </c>
      <c r="G600" s="9" t="n"/>
      <c r="H600" s="10" t="inlineStr">
        <is>
          <t>▼</t>
        </is>
      </c>
      <c r="I600" s="11">
        <f>IF(C600="","",D600+IF(F600="Ambil Obat",IF(G600="",0,G600),0))</f>
        <v/>
      </c>
      <c r="J600" s="12">
        <f>$J$589</f>
        <v/>
      </c>
      <c r="K600" s="13" t="inlineStr">
        <is>
          <t>▼</t>
        </is>
      </c>
    </row>
    <row r="601" ht="21.75" customHeight="1" s="314">
      <c r="A601" s="32">
        <f>IF(C601="","",927)</f>
        <v/>
      </c>
      <c r="B601" s="7" t="n">
        <v>46174</v>
      </c>
      <c r="C601" s="14" t="n"/>
      <c r="D601" s="16" t="n"/>
      <c r="E601" s="15" t="inlineStr">
        <is>
          <t>▼</t>
        </is>
      </c>
      <c r="F601" s="15" t="inlineStr">
        <is>
          <t>▼</t>
        </is>
      </c>
      <c r="G601" s="16" t="n"/>
      <c r="H601" s="15" t="inlineStr">
        <is>
          <t>▼</t>
        </is>
      </c>
      <c r="I601" s="17">
        <f>IF(C601="","",D601+IF(F601="Ambil Obat",IF(G601="",0,G601),0))</f>
        <v/>
      </c>
      <c r="J601" s="12">
        <f>$J$589</f>
        <v/>
      </c>
      <c r="K601" s="18" t="inlineStr">
        <is>
          <t>▼</t>
        </is>
      </c>
    </row>
    <row r="602" ht="21.75" customHeight="1" s="314">
      <c r="A602" s="6">
        <f>IF(C602="","",928)</f>
        <v/>
      </c>
      <c r="B602" s="7" t="n">
        <v>46174</v>
      </c>
      <c r="C602" s="8" t="n"/>
      <c r="D602" s="9" t="n"/>
      <c r="E602" s="10" t="inlineStr">
        <is>
          <t>▼</t>
        </is>
      </c>
      <c r="F602" s="10" t="inlineStr">
        <is>
          <t>▼</t>
        </is>
      </c>
      <c r="G602" s="9" t="n"/>
      <c r="H602" s="10" t="inlineStr">
        <is>
          <t>▼</t>
        </is>
      </c>
      <c r="I602" s="11">
        <f>IF(C602="","",D602+IF(F602="Ambil Obat",IF(G602="",0,G602),0))</f>
        <v/>
      </c>
      <c r="J602" s="12">
        <f>$J$589</f>
        <v/>
      </c>
      <c r="K602" s="13" t="inlineStr">
        <is>
          <t>▼</t>
        </is>
      </c>
    </row>
    <row r="603" ht="21.75" customHeight="1" s="314">
      <c r="A603" s="32">
        <f>IF(C603="","",929)</f>
        <v/>
      </c>
      <c r="B603" s="7" t="n">
        <v>46174</v>
      </c>
      <c r="C603" s="14" t="n"/>
      <c r="D603" s="16" t="n"/>
      <c r="E603" s="15" t="inlineStr">
        <is>
          <t>▼</t>
        </is>
      </c>
      <c r="F603" s="15" t="inlineStr">
        <is>
          <t>▼</t>
        </is>
      </c>
      <c r="G603" s="16" t="n"/>
      <c r="H603" s="15" t="inlineStr">
        <is>
          <t>▼</t>
        </is>
      </c>
      <c r="I603" s="17">
        <f>IF(C603="","",D603+IF(F603="Ambil Obat",IF(G603="",0,G603),0))</f>
        <v/>
      </c>
      <c r="J603" s="12">
        <f>$J$589</f>
        <v/>
      </c>
      <c r="K603" s="18" t="inlineStr">
        <is>
          <t>▼</t>
        </is>
      </c>
    </row>
    <row r="604" ht="21.75" customHeight="1" s="314">
      <c r="A604" s="6">
        <f>IF(C604="","",930)</f>
        <v/>
      </c>
      <c r="B604" s="7" t="n">
        <v>46174</v>
      </c>
      <c r="C604" s="8" t="n"/>
      <c r="D604" s="9" t="n"/>
      <c r="E604" s="10" t="inlineStr">
        <is>
          <t>▼</t>
        </is>
      </c>
      <c r="F604" s="10" t="inlineStr">
        <is>
          <t>▼</t>
        </is>
      </c>
      <c r="G604" s="9" t="n"/>
      <c r="H604" s="10" t="inlineStr">
        <is>
          <t>▼</t>
        </is>
      </c>
      <c r="I604" s="11">
        <f>IF(C604="","",D604+IF(F604="Ambil Obat",IF(G604="",0,G604),0))</f>
        <v/>
      </c>
      <c r="J604" s="12">
        <f>$J$589</f>
        <v/>
      </c>
      <c r="K604" s="13" t="inlineStr">
        <is>
          <t>▼</t>
        </is>
      </c>
    </row>
    <row r="605" ht="24" customHeight="1" s="314">
      <c r="A605" s="248">
        <f>IF(COUNTA(C590:C604)=0,"— belum ada data —","📊 Sub-total  "&amp; TEXT(B590,"DD MMM YYYY") &amp;"  ("&amp;COUNTA(C590:C604)&amp;" pasien)")</f>
        <v/>
      </c>
      <c r="B605" s="316" t="n"/>
      <c r="C605" s="316" t="n"/>
      <c r="D605" s="19">
        <f>IF(COUNTA(C590:C604)=0,"",SUM(D590:D604))</f>
        <v/>
      </c>
      <c r="E605" s="20">
        <f>IF(COUNTA(C590:C604)=0,"",SUMIF(E590:E604,"Cash",D590:D604))</f>
        <v/>
      </c>
      <c r="F605" s="21">
        <f>IF(COUNTA(C590:C604)=0,"",SUMIF(E590:E604,"Transfer Bank",D590:D604))</f>
        <v/>
      </c>
      <c r="G605" s="19">
        <f>IF(COUNTA(C590:C604)=0,"",SUMIF(F590:F604,"Ambil Obat",G590:G604))</f>
        <v/>
      </c>
      <c r="H605" s="20">
        <f>IF(COUNTA(C590:C604)=0,"",SUMIFS(G590:G604,H590:H604,"Cash",F590:F604,"Ambil Obat"))</f>
        <v/>
      </c>
      <c r="I605" s="21">
        <f>IF(COUNTA(C590:C604)=0,"",SUMIFS(G590:G604,H590:H604,"Transfer Bank",F590:F604,"Ambil Obat"))</f>
        <v/>
      </c>
      <c r="J605" s="22" t="n"/>
      <c r="K605" s="23">
        <f>IF(COUNTA(C590:C604)=0,"",D605+G605)</f>
        <v/>
      </c>
    </row>
    <row r="606" ht="24" customHeight="1" s="314">
      <c r="A606" s="249" t="inlineStr">
        <is>
          <t>📅  Selasa, 02 Juni 2026</t>
        </is>
      </c>
      <c r="B606" s="5" t="n"/>
      <c r="C606" s="5" t="n"/>
      <c r="D606" s="5" t="n"/>
      <c r="E606" s="5" t="n"/>
      <c r="F606" s="5" t="n"/>
      <c r="G606" s="5" t="n"/>
      <c r="H606" s="5" t="n"/>
      <c r="I606" s="5" t="n"/>
      <c r="J606" s="4" t="inlineStr">
        <is>
          <t>dr. HAWA</t>
        </is>
      </c>
      <c r="K606" s="5" t="n"/>
    </row>
    <row r="607" ht="21.75" customHeight="1" s="314">
      <c r="A607" s="6">
        <f>IF(C607="","",931)</f>
        <v/>
      </c>
      <c r="B607" s="7" t="n">
        <v>46175</v>
      </c>
      <c r="C607" s="8" t="n"/>
      <c r="D607" s="9" t="n"/>
      <c r="E607" s="10" t="inlineStr">
        <is>
          <t>▼</t>
        </is>
      </c>
      <c r="F607" s="10" t="inlineStr">
        <is>
          <t>▼</t>
        </is>
      </c>
      <c r="G607" s="9" t="n"/>
      <c r="H607" s="10" t="inlineStr">
        <is>
          <t>▼</t>
        </is>
      </c>
      <c r="I607" s="11">
        <f>IF(C607="","",D607+IF(F607="Ambil Obat",IF(G607="",0,G607),0))</f>
        <v/>
      </c>
      <c r="J607" s="12">
        <f>$J$606</f>
        <v/>
      </c>
      <c r="K607" s="13" t="inlineStr">
        <is>
          <t>▼</t>
        </is>
      </c>
    </row>
    <row r="608" ht="21.75" customHeight="1" s="314">
      <c r="A608" s="32">
        <f>IF(C608="","",932)</f>
        <v/>
      </c>
      <c r="B608" s="7" t="n">
        <v>46175</v>
      </c>
      <c r="C608" s="14" t="n"/>
      <c r="D608" s="16" t="n"/>
      <c r="E608" s="15" t="inlineStr">
        <is>
          <t>▼</t>
        </is>
      </c>
      <c r="F608" s="15" t="inlineStr">
        <is>
          <t>▼</t>
        </is>
      </c>
      <c r="G608" s="16" t="n"/>
      <c r="H608" s="15" t="inlineStr">
        <is>
          <t>▼</t>
        </is>
      </c>
      <c r="I608" s="17">
        <f>IF(C608="","",D608+IF(F608="Ambil Obat",IF(G608="",0,G608),0))</f>
        <v/>
      </c>
      <c r="J608" s="12">
        <f>$J$606</f>
        <v/>
      </c>
      <c r="K608" s="18" t="inlineStr">
        <is>
          <t>▼</t>
        </is>
      </c>
    </row>
    <row r="609" ht="21.75" customHeight="1" s="314">
      <c r="A609" s="6">
        <f>IF(C609="","",933)</f>
        <v/>
      </c>
      <c r="B609" s="7" t="n">
        <v>46175</v>
      </c>
      <c r="C609" s="8" t="n"/>
      <c r="D609" s="9" t="n"/>
      <c r="E609" s="10" t="inlineStr">
        <is>
          <t>▼</t>
        </is>
      </c>
      <c r="F609" s="10" t="inlineStr">
        <is>
          <t>▼</t>
        </is>
      </c>
      <c r="G609" s="9" t="n"/>
      <c r="H609" s="10" t="inlineStr">
        <is>
          <t>▼</t>
        </is>
      </c>
      <c r="I609" s="11">
        <f>IF(C609="","",D609+IF(F609="Ambil Obat",IF(G609="",0,G609),0))</f>
        <v/>
      </c>
      <c r="J609" s="12">
        <f>$J$606</f>
        <v/>
      </c>
      <c r="K609" s="13" t="inlineStr">
        <is>
          <t>▼</t>
        </is>
      </c>
    </row>
    <row r="610" ht="21.75" customHeight="1" s="314">
      <c r="A610" s="32">
        <f>IF(C610="","",934)</f>
        <v/>
      </c>
      <c r="B610" s="7" t="n">
        <v>46175</v>
      </c>
      <c r="C610" s="14" t="n"/>
      <c r="D610" s="16" t="n"/>
      <c r="E610" s="15" t="inlineStr">
        <is>
          <t>▼</t>
        </is>
      </c>
      <c r="F610" s="15" t="inlineStr">
        <is>
          <t>▼</t>
        </is>
      </c>
      <c r="G610" s="16" t="n"/>
      <c r="H610" s="15" t="inlineStr">
        <is>
          <t>▼</t>
        </is>
      </c>
      <c r="I610" s="17">
        <f>IF(C610="","",D610+IF(F610="Ambil Obat",IF(G610="",0,G610),0))</f>
        <v/>
      </c>
      <c r="J610" s="12">
        <f>$J$606</f>
        <v/>
      </c>
      <c r="K610" s="18" t="inlineStr">
        <is>
          <t>▼</t>
        </is>
      </c>
    </row>
    <row r="611" ht="21.75" customHeight="1" s="314">
      <c r="A611" s="6">
        <f>IF(C611="","",935)</f>
        <v/>
      </c>
      <c r="B611" s="7" t="n">
        <v>46175</v>
      </c>
      <c r="C611" s="8" t="n"/>
      <c r="D611" s="9" t="n"/>
      <c r="E611" s="10" t="inlineStr">
        <is>
          <t>▼</t>
        </is>
      </c>
      <c r="F611" s="10" t="inlineStr">
        <is>
          <t>▼</t>
        </is>
      </c>
      <c r="G611" s="9" t="n"/>
      <c r="H611" s="10" t="inlineStr">
        <is>
          <t>▼</t>
        </is>
      </c>
      <c r="I611" s="11">
        <f>IF(C611="","",D611+IF(F611="Ambil Obat",IF(G611="",0,G611),0))</f>
        <v/>
      </c>
      <c r="J611" s="12">
        <f>$J$606</f>
        <v/>
      </c>
      <c r="K611" s="13" t="inlineStr">
        <is>
          <t>▼</t>
        </is>
      </c>
    </row>
    <row r="612" ht="21.75" customHeight="1" s="314">
      <c r="A612" s="32">
        <f>IF(C612="","",936)</f>
        <v/>
      </c>
      <c r="B612" s="7" t="n">
        <v>46175</v>
      </c>
      <c r="C612" s="14" t="n"/>
      <c r="D612" s="16" t="n"/>
      <c r="E612" s="15" t="inlineStr">
        <is>
          <t>▼</t>
        </is>
      </c>
      <c r="F612" s="15" t="inlineStr">
        <is>
          <t>▼</t>
        </is>
      </c>
      <c r="G612" s="16" t="n"/>
      <c r="H612" s="15" t="inlineStr">
        <is>
          <t>▼</t>
        </is>
      </c>
      <c r="I612" s="17">
        <f>IF(C612="","",D612+IF(F612="Ambil Obat",IF(G612="",0,G612),0))</f>
        <v/>
      </c>
      <c r="J612" s="12">
        <f>$J$606</f>
        <v/>
      </c>
      <c r="K612" s="18" t="inlineStr">
        <is>
          <t>▼</t>
        </is>
      </c>
    </row>
    <row r="613" ht="21.75" customHeight="1" s="314">
      <c r="A613" s="6">
        <f>IF(C613="","",937)</f>
        <v/>
      </c>
      <c r="B613" s="7" t="n">
        <v>46175</v>
      </c>
      <c r="C613" s="8" t="n"/>
      <c r="D613" s="9" t="n"/>
      <c r="E613" s="10" t="inlineStr">
        <is>
          <t>▼</t>
        </is>
      </c>
      <c r="F613" s="10" t="inlineStr">
        <is>
          <t>▼</t>
        </is>
      </c>
      <c r="G613" s="9" t="n"/>
      <c r="H613" s="10" t="inlineStr">
        <is>
          <t>▼</t>
        </is>
      </c>
      <c r="I613" s="11">
        <f>IF(C613="","",D613+IF(F613="Ambil Obat",IF(G613="",0,G613),0))</f>
        <v/>
      </c>
      <c r="J613" s="12">
        <f>$J$606</f>
        <v/>
      </c>
      <c r="K613" s="13" t="inlineStr">
        <is>
          <t>▼</t>
        </is>
      </c>
    </row>
    <row r="614" ht="21.75" customHeight="1" s="314">
      <c r="A614" s="32">
        <f>IF(C614="","",938)</f>
        <v/>
      </c>
      <c r="B614" s="7" t="n">
        <v>46175</v>
      </c>
      <c r="C614" s="14" t="n"/>
      <c r="D614" s="16" t="n"/>
      <c r="E614" s="15" t="inlineStr">
        <is>
          <t>▼</t>
        </is>
      </c>
      <c r="F614" s="15" t="inlineStr">
        <is>
          <t>▼</t>
        </is>
      </c>
      <c r="G614" s="16" t="n"/>
      <c r="H614" s="15" t="inlineStr">
        <is>
          <t>▼</t>
        </is>
      </c>
      <c r="I614" s="17">
        <f>IF(C614="","",D614+IF(F614="Ambil Obat",IF(G614="",0,G614),0))</f>
        <v/>
      </c>
      <c r="J614" s="12">
        <f>$J$606</f>
        <v/>
      </c>
      <c r="K614" s="18" t="inlineStr">
        <is>
          <t>▼</t>
        </is>
      </c>
    </row>
    <row r="615" ht="21.75" customHeight="1" s="314">
      <c r="A615" s="6">
        <f>IF(C615="","",939)</f>
        <v/>
      </c>
      <c r="B615" s="7" t="n">
        <v>46175</v>
      </c>
      <c r="C615" s="8" t="n"/>
      <c r="D615" s="9" t="n"/>
      <c r="E615" s="10" t="inlineStr">
        <is>
          <t>▼</t>
        </is>
      </c>
      <c r="F615" s="10" t="inlineStr">
        <is>
          <t>▼</t>
        </is>
      </c>
      <c r="G615" s="9" t="n"/>
      <c r="H615" s="10" t="inlineStr">
        <is>
          <t>▼</t>
        </is>
      </c>
      <c r="I615" s="11">
        <f>IF(C615="","",D615+IF(F615="Ambil Obat",IF(G615="",0,G615),0))</f>
        <v/>
      </c>
      <c r="J615" s="12">
        <f>$J$606</f>
        <v/>
      </c>
      <c r="K615" s="13" t="inlineStr">
        <is>
          <t>▼</t>
        </is>
      </c>
    </row>
    <row r="616" ht="21.75" customHeight="1" s="314">
      <c r="A616" s="32">
        <f>IF(C616="","",940)</f>
        <v/>
      </c>
      <c r="B616" s="7" t="n">
        <v>46175</v>
      </c>
      <c r="C616" s="14" t="n"/>
      <c r="D616" s="16" t="n"/>
      <c r="E616" s="15" t="inlineStr">
        <is>
          <t>▼</t>
        </is>
      </c>
      <c r="F616" s="15" t="inlineStr">
        <is>
          <t>▼</t>
        </is>
      </c>
      <c r="G616" s="16" t="n"/>
      <c r="H616" s="15" t="inlineStr">
        <is>
          <t>▼</t>
        </is>
      </c>
      <c r="I616" s="17">
        <f>IF(C616="","",D616+IF(F616="Ambil Obat",IF(G616="",0,G616),0))</f>
        <v/>
      </c>
      <c r="J616" s="12">
        <f>$J$606</f>
        <v/>
      </c>
      <c r="K616" s="18" t="inlineStr">
        <is>
          <t>▼</t>
        </is>
      </c>
    </row>
    <row r="617" ht="21.75" customHeight="1" s="314">
      <c r="A617" s="6">
        <f>IF(C617="","",941)</f>
        <v/>
      </c>
      <c r="B617" s="7" t="n">
        <v>46175</v>
      </c>
      <c r="C617" s="8" t="n"/>
      <c r="D617" s="9" t="n"/>
      <c r="E617" s="10" t="inlineStr">
        <is>
          <t>▼</t>
        </is>
      </c>
      <c r="F617" s="10" t="inlineStr">
        <is>
          <t>▼</t>
        </is>
      </c>
      <c r="G617" s="9" t="n"/>
      <c r="H617" s="10" t="inlineStr">
        <is>
          <t>▼</t>
        </is>
      </c>
      <c r="I617" s="11">
        <f>IF(C617="","",D617+IF(F617="Ambil Obat",IF(G617="",0,G617),0))</f>
        <v/>
      </c>
      <c r="J617" s="12">
        <f>$J$606</f>
        <v/>
      </c>
      <c r="K617" s="13" t="inlineStr">
        <is>
          <t>▼</t>
        </is>
      </c>
    </row>
    <row r="618" ht="21.75" customHeight="1" s="314">
      <c r="A618" s="32">
        <f>IF(C618="","",942)</f>
        <v/>
      </c>
      <c r="B618" s="7" t="n">
        <v>46175</v>
      </c>
      <c r="C618" s="14" t="n"/>
      <c r="D618" s="16" t="n"/>
      <c r="E618" s="15" t="inlineStr">
        <is>
          <t>▼</t>
        </is>
      </c>
      <c r="F618" s="15" t="inlineStr">
        <is>
          <t>▼</t>
        </is>
      </c>
      <c r="G618" s="16" t="n"/>
      <c r="H618" s="15" t="inlineStr">
        <is>
          <t>▼</t>
        </is>
      </c>
      <c r="I618" s="17">
        <f>IF(C618="","",D618+IF(F618="Ambil Obat",IF(G618="",0,G618),0))</f>
        <v/>
      </c>
      <c r="J618" s="12">
        <f>$J$606</f>
        <v/>
      </c>
      <c r="K618" s="18" t="inlineStr">
        <is>
          <t>▼</t>
        </is>
      </c>
    </row>
    <row r="619" ht="21.75" customHeight="1" s="314">
      <c r="A619" s="6">
        <f>IF(C619="","",943)</f>
        <v/>
      </c>
      <c r="B619" s="7" t="n">
        <v>46175</v>
      </c>
      <c r="C619" s="8" t="n"/>
      <c r="D619" s="9" t="n"/>
      <c r="E619" s="10" t="inlineStr">
        <is>
          <t>▼</t>
        </is>
      </c>
      <c r="F619" s="10" t="inlineStr">
        <is>
          <t>▼</t>
        </is>
      </c>
      <c r="G619" s="9" t="n"/>
      <c r="H619" s="10" t="inlineStr">
        <is>
          <t>▼</t>
        </is>
      </c>
      <c r="I619" s="11">
        <f>IF(C619="","",D619+IF(F619="Ambil Obat",IF(G619="",0,G619),0))</f>
        <v/>
      </c>
      <c r="J619" s="12">
        <f>$J$606</f>
        <v/>
      </c>
      <c r="K619" s="13" t="inlineStr">
        <is>
          <t>▼</t>
        </is>
      </c>
    </row>
    <row r="620" ht="21.75" customHeight="1" s="314">
      <c r="A620" s="32">
        <f>IF(C620="","",944)</f>
        <v/>
      </c>
      <c r="B620" s="7" t="n">
        <v>46175</v>
      </c>
      <c r="C620" s="14" t="n"/>
      <c r="D620" s="16" t="n"/>
      <c r="E620" s="15" t="inlineStr">
        <is>
          <t>▼</t>
        </is>
      </c>
      <c r="F620" s="15" t="inlineStr">
        <is>
          <t>▼</t>
        </is>
      </c>
      <c r="G620" s="16" t="n"/>
      <c r="H620" s="15" t="inlineStr">
        <is>
          <t>▼</t>
        </is>
      </c>
      <c r="I620" s="17">
        <f>IF(C620="","",D620+IF(F620="Ambil Obat",IF(G620="",0,G620),0))</f>
        <v/>
      </c>
      <c r="J620" s="12">
        <f>$J$606</f>
        <v/>
      </c>
      <c r="K620" s="18" t="inlineStr">
        <is>
          <t>▼</t>
        </is>
      </c>
    </row>
    <row r="621" ht="21.75" customHeight="1" s="314">
      <c r="A621" s="6">
        <f>IF(C621="","",945)</f>
        <v/>
      </c>
      <c r="B621" s="7" t="n">
        <v>46175</v>
      </c>
      <c r="C621" s="8" t="n"/>
      <c r="D621" s="9" t="n"/>
      <c r="E621" s="10" t="inlineStr">
        <is>
          <t>▼</t>
        </is>
      </c>
      <c r="F621" s="10" t="inlineStr">
        <is>
          <t>▼</t>
        </is>
      </c>
      <c r="G621" s="9" t="n"/>
      <c r="H621" s="10" t="inlineStr">
        <is>
          <t>▼</t>
        </is>
      </c>
      <c r="I621" s="11">
        <f>IF(C621="","",D621+IF(F621="Ambil Obat",IF(G621="",0,G621),0))</f>
        <v/>
      </c>
      <c r="J621" s="12">
        <f>$J$606</f>
        <v/>
      </c>
      <c r="K621" s="13" t="inlineStr">
        <is>
          <t>▼</t>
        </is>
      </c>
    </row>
    <row r="622" ht="24" customHeight="1" s="314">
      <c r="A622" s="248">
        <f>IF(COUNTA(C607:C621)=0,"— belum ada data —","📊 Sub-total  "&amp; TEXT(B607,"DD MMM YYYY") &amp;"  ("&amp;COUNTA(C607:C621)&amp;" pasien)")</f>
        <v/>
      </c>
      <c r="B622" s="316" t="n"/>
      <c r="C622" s="316" t="n"/>
      <c r="D622" s="19">
        <f>IF(COUNTA(C607:C621)=0,"",SUM(D607:D621))</f>
        <v/>
      </c>
      <c r="E622" s="20">
        <f>IF(COUNTA(C607:C621)=0,"",SUMIF(E607:E621,"Cash",D607:D621))</f>
        <v/>
      </c>
      <c r="F622" s="21">
        <f>IF(COUNTA(C607:C621)=0,"",SUMIF(E607:E621,"Transfer Bank",D607:D621))</f>
        <v/>
      </c>
      <c r="G622" s="19">
        <f>IF(COUNTA(C607:C621)=0,"",SUMIF(F607:F621,"Ambil Obat",G607:G621))</f>
        <v/>
      </c>
      <c r="H622" s="20">
        <f>IF(COUNTA(C607:C621)=0,"",SUMIFS(G607:G621,H607:H621,"Cash",F607:F621,"Ambil Obat"))</f>
        <v/>
      </c>
      <c r="I622" s="21">
        <f>IF(COUNTA(C607:C621)=0,"",SUMIFS(G607:G621,H607:H621,"Transfer Bank",F607:F621,"Ambil Obat"))</f>
        <v/>
      </c>
      <c r="J622" s="22" t="n"/>
      <c r="K622" s="23">
        <f>IF(COUNTA(C607:C621)=0,"",D622+G622)</f>
        <v/>
      </c>
    </row>
    <row r="623" ht="24" customHeight="1" s="314">
      <c r="A623" s="249" t="inlineStr">
        <is>
          <t>📅  Rabu, 03 Juni 2026</t>
        </is>
      </c>
      <c r="B623" s="5" t="n"/>
      <c r="C623" s="5" t="n"/>
      <c r="D623" s="5" t="n"/>
      <c r="E623" s="5" t="n"/>
      <c r="F623" s="5" t="n"/>
      <c r="G623" s="5" t="n"/>
      <c r="H623" s="5" t="n"/>
      <c r="I623" s="5" t="n"/>
      <c r="J623" s="4" t="inlineStr">
        <is>
          <t>dr. ARIF</t>
        </is>
      </c>
      <c r="K623" s="5" t="n"/>
    </row>
    <row r="624" ht="21.75" customHeight="1" s="314">
      <c r="A624" s="6">
        <f>IF(C624="","",946)</f>
        <v/>
      </c>
      <c r="B624" s="7" t="n">
        <v>46176</v>
      </c>
      <c r="C624" s="8" t="n"/>
      <c r="D624" s="9" t="n"/>
      <c r="E624" s="10" t="inlineStr">
        <is>
          <t>▼</t>
        </is>
      </c>
      <c r="F624" s="10" t="inlineStr">
        <is>
          <t>▼</t>
        </is>
      </c>
      <c r="G624" s="9" t="n"/>
      <c r="H624" s="10" t="inlineStr">
        <is>
          <t>▼</t>
        </is>
      </c>
      <c r="I624" s="11">
        <f>IF(C624="","",D624+IF(F624="Ambil Obat",IF(G624="",0,G624),0))</f>
        <v/>
      </c>
      <c r="J624" s="12">
        <f>$J$623</f>
        <v/>
      </c>
      <c r="K624" s="13" t="inlineStr">
        <is>
          <t>▼</t>
        </is>
      </c>
    </row>
    <row r="625" ht="21.75" customHeight="1" s="314">
      <c r="A625" s="32">
        <f>IF(C625="","",947)</f>
        <v/>
      </c>
      <c r="B625" s="7" t="n">
        <v>46176</v>
      </c>
      <c r="C625" s="14" t="n"/>
      <c r="D625" s="16" t="n"/>
      <c r="E625" s="15" t="inlineStr">
        <is>
          <t>▼</t>
        </is>
      </c>
      <c r="F625" s="15" t="inlineStr">
        <is>
          <t>▼</t>
        </is>
      </c>
      <c r="G625" s="16" t="n"/>
      <c r="H625" s="15" t="inlineStr">
        <is>
          <t>▼</t>
        </is>
      </c>
      <c r="I625" s="17">
        <f>IF(C625="","",D625+IF(F625="Ambil Obat",IF(G625="",0,G625),0))</f>
        <v/>
      </c>
      <c r="J625" s="12">
        <f>$J$623</f>
        <v/>
      </c>
      <c r="K625" s="18" t="inlineStr">
        <is>
          <t>▼</t>
        </is>
      </c>
    </row>
    <row r="626" ht="21.75" customHeight="1" s="314">
      <c r="A626" s="6">
        <f>IF(C626="","",948)</f>
        <v/>
      </c>
      <c r="B626" s="7" t="n">
        <v>46176</v>
      </c>
      <c r="C626" s="8" t="n"/>
      <c r="D626" s="9" t="n"/>
      <c r="E626" s="10" t="inlineStr">
        <is>
          <t>▼</t>
        </is>
      </c>
      <c r="F626" s="10" t="inlineStr">
        <is>
          <t>▼</t>
        </is>
      </c>
      <c r="G626" s="9" t="n"/>
      <c r="H626" s="10" t="inlineStr">
        <is>
          <t>▼</t>
        </is>
      </c>
      <c r="I626" s="11">
        <f>IF(C626="","",D626+IF(F626="Ambil Obat",IF(G626="",0,G626),0))</f>
        <v/>
      </c>
      <c r="J626" s="12">
        <f>$J$623</f>
        <v/>
      </c>
      <c r="K626" s="13" t="inlineStr">
        <is>
          <t>▼</t>
        </is>
      </c>
    </row>
    <row r="627" ht="21.75" customHeight="1" s="314">
      <c r="A627" s="32">
        <f>IF(C627="","",949)</f>
        <v/>
      </c>
      <c r="B627" s="7" t="n">
        <v>46176</v>
      </c>
      <c r="C627" s="14" t="n"/>
      <c r="D627" s="16" t="n"/>
      <c r="E627" s="15" t="inlineStr">
        <is>
          <t>▼</t>
        </is>
      </c>
      <c r="F627" s="15" t="inlineStr">
        <is>
          <t>▼</t>
        </is>
      </c>
      <c r="G627" s="16" t="n"/>
      <c r="H627" s="15" t="inlineStr">
        <is>
          <t>▼</t>
        </is>
      </c>
      <c r="I627" s="17">
        <f>IF(C627="","",D627+IF(F627="Ambil Obat",IF(G627="",0,G627),0))</f>
        <v/>
      </c>
      <c r="J627" s="12">
        <f>$J$623</f>
        <v/>
      </c>
      <c r="K627" s="18" t="inlineStr">
        <is>
          <t>▼</t>
        </is>
      </c>
    </row>
    <row r="628" ht="21.75" customHeight="1" s="314">
      <c r="A628" s="6">
        <f>IF(C628="","",950)</f>
        <v/>
      </c>
      <c r="B628" s="7" t="n">
        <v>46176</v>
      </c>
      <c r="C628" s="8" t="n"/>
      <c r="D628" s="9" t="n"/>
      <c r="E628" s="10" t="inlineStr">
        <is>
          <t>▼</t>
        </is>
      </c>
      <c r="F628" s="10" t="inlineStr">
        <is>
          <t>▼</t>
        </is>
      </c>
      <c r="G628" s="9" t="n"/>
      <c r="H628" s="10" t="inlineStr">
        <is>
          <t>▼</t>
        </is>
      </c>
      <c r="I628" s="11">
        <f>IF(C628="","",D628+IF(F628="Ambil Obat",IF(G628="",0,G628),0))</f>
        <v/>
      </c>
      <c r="J628" s="12">
        <f>$J$623</f>
        <v/>
      </c>
      <c r="K628" s="13" t="inlineStr">
        <is>
          <t>▼</t>
        </is>
      </c>
    </row>
    <row r="629" ht="21.75" customHeight="1" s="314">
      <c r="A629" s="32">
        <f>IF(C629="","",951)</f>
        <v/>
      </c>
      <c r="B629" s="7" t="n">
        <v>46176</v>
      </c>
      <c r="C629" s="14" t="n"/>
      <c r="D629" s="16" t="n"/>
      <c r="E629" s="15" t="inlineStr">
        <is>
          <t>▼</t>
        </is>
      </c>
      <c r="F629" s="15" t="inlineStr">
        <is>
          <t>▼</t>
        </is>
      </c>
      <c r="G629" s="16" t="n"/>
      <c r="H629" s="15" t="inlineStr">
        <is>
          <t>▼</t>
        </is>
      </c>
      <c r="I629" s="17">
        <f>IF(C629="","",D629+IF(F629="Ambil Obat",IF(G629="",0,G629),0))</f>
        <v/>
      </c>
      <c r="J629" s="12">
        <f>$J$623</f>
        <v/>
      </c>
      <c r="K629" s="18" t="inlineStr">
        <is>
          <t>▼</t>
        </is>
      </c>
    </row>
    <row r="630" ht="21.75" customHeight="1" s="314">
      <c r="A630" s="6">
        <f>IF(C630="","",952)</f>
        <v/>
      </c>
      <c r="B630" s="7" t="n">
        <v>46176</v>
      </c>
      <c r="C630" s="8" t="n"/>
      <c r="D630" s="9" t="n"/>
      <c r="E630" s="10" t="inlineStr">
        <is>
          <t>▼</t>
        </is>
      </c>
      <c r="F630" s="10" t="inlineStr">
        <is>
          <t>▼</t>
        </is>
      </c>
      <c r="G630" s="9" t="n"/>
      <c r="H630" s="10" t="inlineStr">
        <is>
          <t>▼</t>
        </is>
      </c>
      <c r="I630" s="11">
        <f>IF(C630="","",D630+IF(F630="Ambil Obat",IF(G630="",0,G630),0))</f>
        <v/>
      </c>
      <c r="J630" s="12">
        <f>$J$623</f>
        <v/>
      </c>
      <c r="K630" s="13" t="inlineStr">
        <is>
          <t>▼</t>
        </is>
      </c>
    </row>
    <row r="631" ht="21.75" customHeight="1" s="314">
      <c r="A631" s="32">
        <f>IF(C631="","",953)</f>
        <v/>
      </c>
      <c r="B631" s="7" t="n">
        <v>46176</v>
      </c>
      <c r="C631" s="14" t="n"/>
      <c r="D631" s="16" t="n"/>
      <c r="E631" s="15" t="inlineStr">
        <is>
          <t>▼</t>
        </is>
      </c>
      <c r="F631" s="15" t="inlineStr">
        <is>
          <t>▼</t>
        </is>
      </c>
      <c r="G631" s="16" t="n"/>
      <c r="H631" s="15" t="inlineStr">
        <is>
          <t>▼</t>
        </is>
      </c>
      <c r="I631" s="17">
        <f>IF(C631="","",D631+IF(F631="Ambil Obat",IF(G631="",0,G631),0))</f>
        <v/>
      </c>
      <c r="J631" s="12">
        <f>$J$623</f>
        <v/>
      </c>
      <c r="K631" s="18" t="inlineStr">
        <is>
          <t>▼</t>
        </is>
      </c>
    </row>
    <row r="632" ht="21.75" customHeight="1" s="314">
      <c r="A632" s="6">
        <f>IF(C632="","",954)</f>
        <v/>
      </c>
      <c r="B632" s="7" t="n">
        <v>46176</v>
      </c>
      <c r="C632" s="8" t="n"/>
      <c r="D632" s="9" t="n"/>
      <c r="E632" s="10" t="inlineStr">
        <is>
          <t>▼</t>
        </is>
      </c>
      <c r="F632" s="10" t="inlineStr">
        <is>
          <t>▼</t>
        </is>
      </c>
      <c r="G632" s="9" t="n"/>
      <c r="H632" s="10" t="inlineStr">
        <is>
          <t>▼</t>
        </is>
      </c>
      <c r="I632" s="11">
        <f>IF(C632="","",D632+IF(F632="Ambil Obat",IF(G632="",0,G632),0))</f>
        <v/>
      </c>
      <c r="J632" s="12">
        <f>$J$623</f>
        <v/>
      </c>
      <c r="K632" s="13" t="inlineStr">
        <is>
          <t>▼</t>
        </is>
      </c>
    </row>
    <row r="633" ht="21.75" customHeight="1" s="314">
      <c r="A633" s="32">
        <f>IF(C633="","",955)</f>
        <v/>
      </c>
      <c r="B633" s="7" t="n">
        <v>46176</v>
      </c>
      <c r="C633" s="14" t="n"/>
      <c r="D633" s="16" t="n"/>
      <c r="E633" s="15" t="inlineStr">
        <is>
          <t>▼</t>
        </is>
      </c>
      <c r="F633" s="15" t="inlineStr">
        <is>
          <t>▼</t>
        </is>
      </c>
      <c r="G633" s="16" t="n"/>
      <c r="H633" s="15" t="inlineStr">
        <is>
          <t>▼</t>
        </is>
      </c>
      <c r="I633" s="17">
        <f>IF(C633="","",D633+IF(F633="Ambil Obat",IF(G633="",0,G633),0))</f>
        <v/>
      </c>
      <c r="J633" s="12">
        <f>$J$623</f>
        <v/>
      </c>
      <c r="K633" s="18" t="inlineStr">
        <is>
          <t>▼</t>
        </is>
      </c>
    </row>
    <row r="634" ht="21.75" customHeight="1" s="314">
      <c r="A634" s="6">
        <f>IF(C634="","",956)</f>
        <v/>
      </c>
      <c r="B634" s="7" t="n">
        <v>46176</v>
      </c>
      <c r="C634" s="8" t="n"/>
      <c r="D634" s="9" t="n"/>
      <c r="E634" s="10" t="inlineStr">
        <is>
          <t>▼</t>
        </is>
      </c>
      <c r="F634" s="10" t="inlineStr">
        <is>
          <t>▼</t>
        </is>
      </c>
      <c r="G634" s="9" t="n"/>
      <c r="H634" s="10" t="inlineStr">
        <is>
          <t>▼</t>
        </is>
      </c>
      <c r="I634" s="11">
        <f>IF(C634="","",D634+IF(F634="Ambil Obat",IF(G634="",0,G634),0))</f>
        <v/>
      </c>
      <c r="J634" s="12">
        <f>$J$623</f>
        <v/>
      </c>
      <c r="K634" s="13" t="inlineStr">
        <is>
          <t>▼</t>
        </is>
      </c>
    </row>
    <row r="635" ht="21.75" customHeight="1" s="314">
      <c r="A635" s="32">
        <f>IF(C635="","",957)</f>
        <v/>
      </c>
      <c r="B635" s="7" t="n">
        <v>46176</v>
      </c>
      <c r="C635" s="14" t="n"/>
      <c r="D635" s="16" t="n"/>
      <c r="E635" s="15" t="inlineStr">
        <is>
          <t>▼</t>
        </is>
      </c>
      <c r="F635" s="15" t="inlineStr">
        <is>
          <t>▼</t>
        </is>
      </c>
      <c r="G635" s="16" t="n"/>
      <c r="H635" s="15" t="inlineStr">
        <is>
          <t>▼</t>
        </is>
      </c>
      <c r="I635" s="17">
        <f>IF(C635="","",D635+IF(F635="Ambil Obat",IF(G635="",0,G635),0))</f>
        <v/>
      </c>
      <c r="J635" s="12">
        <f>$J$623</f>
        <v/>
      </c>
      <c r="K635" s="18" t="inlineStr">
        <is>
          <t>▼</t>
        </is>
      </c>
    </row>
    <row r="636" ht="21.75" customHeight="1" s="314">
      <c r="A636" s="6">
        <f>IF(C636="","",958)</f>
        <v/>
      </c>
      <c r="B636" s="7" t="n">
        <v>46176</v>
      </c>
      <c r="C636" s="8" t="n"/>
      <c r="D636" s="9" t="n"/>
      <c r="E636" s="10" t="inlineStr">
        <is>
          <t>▼</t>
        </is>
      </c>
      <c r="F636" s="10" t="inlineStr">
        <is>
          <t>▼</t>
        </is>
      </c>
      <c r="G636" s="9" t="n"/>
      <c r="H636" s="10" t="inlineStr">
        <is>
          <t>▼</t>
        </is>
      </c>
      <c r="I636" s="11">
        <f>IF(C636="","",D636+IF(F636="Ambil Obat",IF(G636="",0,G636),0))</f>
        <v/>
      </c>
      <c r="J636" s="12">
        <f>$J$623</f>
        <v/>
      </c>
      <c r="K636" s="13" t="inlineStr">
        <is>
          <t>▼</t>
        </is>
      </c>
    </row>
    <row r="637" ht="21.75" customHeight="1" s="314">
      <c r="A637" s="32">
        <f>IF(C637="","",959)</f>
        <v/>
      </c>
      <c r="B637" s="7" t="n">
        <v>46176</v>
      </c>
      <c r="C637" s="14" t="n"/>
      <c r="D637" s="16" t="n"/>
      <c r="E637" s="15" t="inlineStr">
        <is>
          <t>▼</t>
        </is>
      </c>
      <c r="F637" s="15" t="inlineStr">
        <is>
          <t>▼</t>
        </is>
      </c>
      <c r="G637" s="16" t="n"/>
      <c r="H637" s="15" t="inlineStr">
        <is>
          <t>▼</t>
        </is>
      </c>
      <c r="I637" s="17">
        <f>IF(C637="","",D637+IF(F637="Ambil Obat",IF(G637="",0,G637),0))</f>
        <v/>
      </c>
      <c r="J637" s="12">
        <f>$J$623</f>
        <v/>
      </c>
      <c r="K637" s="18" t="inlineStr">
        <is>
          <t>▼</t>
        </is>
      </c>
    </row>
    <row r="638" ht="21.75" customHeight="1" s="314">
      <c r="A638" s="6">
        <f>IF(C638="","",960)</f>
        <v/>
      </c>
      <c r="B638" s="7" t="n">
        <v>46176</v>
      </c>
      <c r="C638" s="8" t="n"/>
      <c r="D638" s="9" t="n"/>
      <c r="E638" s="10" t="inlineStr">
        <is>
          <t>▼</t>
        </is>
      </c>
      <c r="F638" s="10" t="inlineStr">
        <is>
          <t>▼</t>
        </is>
      </c>
      <c r="G638" s="9" t="n"/>
      <c r="H638" s="10" t="inlineStr">
        <is>
          <t>▼</t>
        </is>
      </c>
      <c r="I638" s="11">
        <f>IF(C638="","",D638+IF(F638="Ambil Obat",IF(G638="",0,G638),0))</f>
        <v/>
      </c>
      <c r="J638" s="12">
        <f>$J$623</f>
        <v/>
      </c>
      <c r="K638" s="13" t="inlineStr">
        <is>
          <t>▼</t>
        </is>
      </c>
    </row>
    <row r="639" ht="24" customHeight="1" s="314">
      <c r="A639" s="248">
        <f>IF(COUNTA(C624:C638)=0,"— belum ada data —","📊 Sub-total  "&amp; TEXT(B624,"DD MMM YYYY") &amp;"  ("&amp;COUNTA(C624:C638)&amp;" pasien)")</f>
        <v/>
      </c>
      <c r="B639" s="316" t="n"/>
      <c r="C639" s="316" t="n"/>
      <c r="D639" s="19">
        <f>IF(COUNTA(C624:C638)=0,"",SUM(D624:D638))</f>
        <v/>
      </c>
      <c r="E639" s="20">
        <f>IF(COUNTA(C624:C638)=0,"",SUMIF(E624:E638,"Cash",D624:D638))</f>
        <v/>
      </c>
      <c r="F639" s="21">
        <f>IF(COUNTA(C624:C638)=0,"",SUMIF(E624:E638,"Transfer Bank",D624:D638))</f>
        <v/>
      </c>
      <c r="G639" s="19">
        <f>IF(COUNTA(C624:C638)=0,"",SUMIF(F624:F638,"Ambil Obat",G624:G638))</f>
        <v/>
      </c>
      <c r="H639" s="20">
        <f>IF(COUNTA(C624:C638)=0,"",SUMIFS(G624:G638,H624:H638,"Cash",F624:F638,"Ambil Obat"))</f>
        <v/>
      </c>
      <c r="I639" s="21">
        <f>IF(COUNTA(C624:C638)=0,"",SUMIFS(G624:G638,H624:H638,"Transfer Bank",F624:F638,"Ambil Obat"))</f>
        <v/>
      </c>
      <c r="J639" s="22" t="n"/>
      <c r="K639" s="23">
        <f>IF(COUNTA(C624:C638)=0,"",D639+G639)</f>
        <v/>
      </c>
    </row>
    <row r="640" ht="24" customHeight="1" s="314">
      <c r="A640" s="249" t="inlineStr">
        <is>
          <t>📅  Kamis, 04 Juni 2026</t>
        </is>
      </c>
      <c r="B640" s="5" t="n"/>
      <c r="C640" s="5" t="n"/>
      <c r="D640" s="5" t="n"/>
      <c r="E640" s="5" t="n"/>
      <c r="F640" s="5" t="n"/>
      <c r="G640" s="5" t="n"/>
      <c r="H640" s="5" t="n"/>
      <c r="I640" s="5" t="n"/>
      <c r="J640" s="4" t="inlineStr">
        <is>
          <t>dr. ARIF</t>
        </is>
      </c>
      <c r="K640" s="5" t="n"/>
    </row>
    <row r="641" ht="21.75" customHeight="1" s="314">
      <c r="A641" s="6">
        <f>IF(C641="","",961)</f>
        <v/>
      </c>
      <c r="B641" s="7" t="n">
        <v>46177</v>
      </c>
      <c r="C641" s="8" t="n"/>
      <c r="D641" s="9" t="n"/>
      <c r="E641" s="10" t="inlineStr">
        <is>
          <t>▼</t>
        </is>
      </c>
      <c r="F641" s="10" t="inlineStr">
        <is>
          <t>▼</t>
        </is>
      </c>
      <c r="G641" s="9" t="n"/>
      <c r="H641" s="10" t="inlineStr">
        <is>
          <t>▼</t>
        </is>
      </c>
      <c r="I641" s="11">
        <f>IF(C641="","",D641+IF(F641="Ambil Obat",IF(G641="",0,G641),0))</f>
        <v/>
      </c>
      <c r="J641" s="12">
        <f>$J$640</f>
        <v/>
      </c>
      <c r="K641" s="13" t="inlineStr">
        <is>
          <t>▼</t>
        </is>
      </c>
    </row>
    <row r="642" ht="21.75" customHeight="1" s="314">
      <c r="A642" s="32">
        <f>IF(C642="","",962)</f>
        <v/>
      </c>
      <c r="B642" s="7" t="n">
        <v>46177</v>
      </c>
      <c r="C642" s="14" t="n"/>
      <c r="D642" s="16" t="n"/>
      <c r="E642" s="15" t="inlineStr">
        <is>
          <t>▼</t>
        </is>
      </c>
      <c r="F642" s="15" t="inlineStr">
        <is>
          <t>▼</t>
        </is>
      </c>
      <c r="G642" s="16" t="n"/>
      <c r="H642" s="15" t="inlineStr">
        <is>
          <t>▼</t>
        </is>
      </c>
      <c r="I642" s="17">
        <f>IF(C642="","",D642+IF(F642="Ambil Obat",IF(G642="",0,G642),0))</f>
        <v/>
      </c>
      <c r="J642" s="12">
        <f>$J$640</f>
        <v/>
      </c>
      <c r="K642" s="18" t="inlineStr">
        <is>
          <t>▼</t>
        </is>
      </c>
    </row>
    <row r="643" ht="21.75" customHeight="1" s="314">
      <c r="A643" s="6">
        <f>IF(C643="","",963)</f>
        <v/>
      </c>
      <c r="B643" s="7" t="n">
        <v>46177</v>
      </c>
      <c r="C643" s="8" t="n"/>
      <c r="D643" s="9" t="n"/>
      <c r="E643" s="10" t="inlineStr">
        <is>
          <t>▼</t>
        </is>
      </c>
      <c r="F643" s="10" t="inlineStr">
        <is>
          <t>▼</t>
        </is>
      </c>
      <c r="G643" s="9" t="n"/>
      <c r="H643" s="10" t="inlineStr">
        <is>
          <t>▼</t>
        </is>
      </c>
      <c r="I643" s="11">
        <f>IF(C643="","",D643+IF(F643="Ambil Obat",IF(G643="",0,G643),0))</f>
        <v/>
      </c>
      <c r="J643" s="12">
        <f>$J$640</f>
        <v/>
      </c>
      <c r="K643" s="13" t="inlineStr">
        <is>
          <t>▼</t>
        </is>
      </c>
    </row>
    <row r="644" ht="21.75" customHeight="1" s="314">
      <c r="A644" s="32">
        <f>IF(C644="","",964)</f>
        <v/>
      </c>
      <c r="B644" s="7" t="n">
        <v>46177</v>
      </c>
      <c r="C644" s="14" t="n"/>
      <c r="D644" s="16" t="n"/>
      <c r="E644" s="15" t="inlineStr">
        <is>
          <t>▼</t>
        </is>
      </c>
      <c r="F644" s="15" t="inlineStr">
        <is>
          <t>▼</t>
        </is>
      </c>
      <c r="G644" s="16" t="n"/>
      <c r="H644" s="15" t="inlineStr">
        <is>
          <t>▼</t>
        </is>
      </c>
      <c r="I644" s="17">
        <f>IF(C644="","",D644+IF(F644="Ambil Obat",IF(G644="",0,G644),0))</f>
        <v/>
      </c>
      <c r="J644" s="12">
        <f>$J$640</f>
        <v/>
      </c>
      <c r="K644" s="18" t="inlineStr">
        <is>
          <t>▼</t>
        </is>
      </c>
    </row>
    <row r="645" ht="21.75" customHeight="1" s="314">
      <c r="A645" s="6">
        <f>IF(C645="","",965)</f>
        <v/>
      </c>
      <c r="B645" s="7" t="n">
        <v>46177</v>
      </c>
      <c r="C645" s="8" t="n"/>
      <c r="D645" s="9" t="n"/>
      <c r="E645" s="10" t="inlineStr">
        <is>
          <t>▼</t>
        </is>
      </c>
      <c r="F645" s="10" t="inlineStr">
        <is>
          <t>▼</t>
        </is>
      </c>
      <c r="G645" s="9" t="n"/>
      <c r="H645" s="10" t="inlineStr">
        <is>
          <t>▼</t>
        </is>
      </c>
      <c r="I645" s="11">
        <f>IF(C645="","",D645+IF(F645="Ambil Obat",IF(G645="",0,G645),0))</f>
        <v/>
      </c>
      <c r="J645" s="12">
        <f>$J$640</f>
        <v/>
      </c>
      <c r="K645" s="13" t="inlineStr">
        <is>
          <t>▼</t>
        </is>
      </c>
    </row>
    <row r="646" ht="21.75" customHeight="1" s="314">
      <c r="A646" s="32">
        <f>IF(C646="","",966)</f>
        <v/>
      </c>
      <c r="B646" s="7" t="n">
        <v>46177</v>
      </c>
      <c r="C646" s="14" t="n"/>
      <c r="D646" s="16" t="n"/>
      <c r="E646" s="15" t="inlineStr">
        <is>
          <t>▼</t>
        </is>
      </c>
      <c r="F646" s="15" t="inlineStr">
        <is>
          <t>▼</t>
        </is>
      </c>
      <c r="G646" s="16" t="n"/>
      <c r="H646" s="15" t="inlineStr">
        <is>
          <t>▼</t>
        </is>
      </c>
      <c r="I646" s="17">
        <f>IF(C646="","",D646+IF(F646="Ambil Obat",IF(G646="",0,G646),0))</f>
        <v/>
      </c>
      <c r="J646" s="12">
        <f>$J$640</f>
        <v/>
      </c>
      <c r="K646" s="18" t="inlineStr">
        <is>
          <t>▼</t>
        </is>
      </c>
    </row>
    <row r="647" ht="21.75" customHeight="1" s="314">
      <c r="A647" s="6">
        <f>IF(C647="","",967)</f>
        <v/>
      </c>
      <c r="B647" s="7" t="n">
        <v>46177</v>
      </c>
      <c r="C647" s="8" t="n"/>
      <c r="D647" s="9" t="n"/>
      <c r="E647" s="10" t="inlineStr">
        <is>
          <t>▼</t>
        </is>
      </c>
      <c r="F647" s="10" t="inlineStr">
        <is>
          <t>▼</t>
        </is>
      </c>
      <c r="G647" s="9" t="n"/>
      <c r="H647" s="10" t="inlineStr">
        <is>
          <t>▼</t>
        </is>
      </c>
      <c r="I647" s="11">
        <f>IF(C647="","",D647+IF(F647="Ambil Obat",IF(G647="",0,G647),0))</f>
        <v/>
      </c>
      <c r="J647" s="12">
        <f>$J$640</f>
        <v/>
      </c>
      <c r="K647" s="13" t="inlineStr">
        <is>
          <t>▼</t>
        </is>
      </c>
    </row>
    <row r="648" ht="21.75" customHeight="1" s="314">
      <c r="A648" s="32">
        <f>IF(C648="","",968)</f>
        <v/>
      </c>
      <c r="B648" s="7" t="n">
        <v>46177</v>
      </c>
      <c r="C648" s="14" t="n"/>
      <c r="D648" s="16" t="n"/>
      <c r="E648" s="15" t="inlineStr">
        <is>
          <t>▼</t>
        </is>
      </c>
      <c r="F648" s="15" t="inlineStr">
        <is>
          <t>▼</t>
        </is>
      </c>
      <c r="G648" s="16" t="n"/>
      <c r="H648" s="15" t="inlineStr">
        <is>
          <t>▼</t>
        </is>
      </c>
      <c r="I648" s="17">
        <f>IF(C648="","",D648+IF(F648="Ambil Obat",IF(G648="",0,G648),0))</f>
        <v/>
      </c>
      <c r="J648" s="12">
        <f>$J$640</f>
        <v/>
      </c>
      <c r="K648" s="18" t="inlineStr">
        <is>
          <t>▼</t>
        </is>
      </c>
    </row>
    <row r="649" ht="21.75" customHeight="1" s="314">
      <c r="A649" s="6">
        <f>IF(C649="","",969)</f>
        <v/>
      </c>
      <c r="B649" s="7" t="n">
        <v>46177</v>
      </c>
      <c r="C649" s="8" t="n"/>
      <c r="D649" s="9" t="n"/>
      <c r="E649" s="10" t="inlineStr">
        <is>
          <t>▼</t>
        </is>
      </c>
      <c r="F649" s="10" t="inlineStr">
        <is>
          <t>▼</t>
        </is>
      </c>
      <c r="G649" s="9" t="n"/>
      <c r="H649" s="10" t="inlineStr">
        <is>
          <t>▼</t>
        </is>
      </c>
      <c r="I649" s="11">
        <f>IF(C649="","",D649+IF(F649="Ambil Obat",IF(G649="",0,G649),0))</f>
        <v/>
      </c>
      <c r="J649" s="12">
        <f>$J$640</f>
        <v/>
      </c>
      <c r="K649" s="13" t="inlineStr">
        <is>
          <t>▼</t>
        </is>
      </c>
    </row>
    <row r="650" ht="21.75" customHeight="1" s="314">
      <c r="A650" s="32">
        <f>IF(C650="","",970)</f>
        <v/>
      </c>
      <c r="B650" s="7" t="n">
        <v>46177</v>
      </c>
      <c r="C650" s="14" t="n"/>
      <c r="D650" s="16" t="n"/>
      <c r="E650" s="15" t="inlineStr">
        <is>
          <t>▼</t>
        </is>
      </c>
      <c r="F650" s="15" t="inlineStr">
        <is>
          <t>▼</t>
        </is>
      </c>
      <c r="G650" s="16" t="n"/>
      <c r="H650" s="15" t="inlineStr">
        <is>
          <t>▼</t>
        </is>
      </c>
      <c r="I650" s="17">
        <f>IF(C650="","",D650+IF(F650="Ambil Obat",IF(G650="",0,G650),0))</f>
        <v/>
      </c>
      <c r="J650" s="12">
        <f>$J$640</f>
        <v/>
      </c>
      <c r="K650" s="18" t="inlineStr">
        <is>
          <t>▼</t>
        </is>
      </c>
    </row>
    <row r="651" ht="21.75" customHeight="1" s="314">
      <c r="A651" s="6">
        <f>IF(C651="","",971)</f>
        <v/>
      </c>
      <c r="B651" s="7" t="n">
        <v>46177</v>
      </c>
      <c r="C651" s="8" t="n"/>
      <c r="D651" s="9" t="n"/>
      <c r="E651" s="10" t="inlineStr">
        <is>
          <t>▼</t>
        </is>
      </c>
      <c r="F651" s="10" t="inlineStr">
        <is>
          <t>▼</t>
        </is>
      </c>
      <c r="G651" s="9" t="n"/>
      <c r="H651" s="10" t="inlineStr">
        <is>
          <t>▼</t>
        </is>
      </c>
      <c r="I651" s="11">
        <f>IF(C651="","",D651+IF(F651="Ambil Obat",IF(G651="",0,G651),0))</f>
        <v/>
      </c>
      <c r="J651" s="12">
        <f>$J$640</f>
        <v/>
      </c>
      <c r="K651" s="13" t="inlineStr">
        <is>
          <t>▼</t>
        </is>
      </c>
    </row>
    <row r="652" ht="21.75" customHeight="1" s="314">
      <c r="A652" s="32">
        <f>IF(C652="","",972)</f>
        <v/>
      </c>
      <c r="B652" s="7" t="n">
        <v>46177</v>
      </c>
      <c r="C652" s="14" t="n"/>
      <c r="D652" s="16" t="n"/>
      <c r="E652" s="15" t="inlineStr">
        <is>
          <t>▼</t>
        </is>
      </c>
      <c r="F652" s="15" t="inlineStr">
        <is>
          <t>▼</t>
        </is>
      </c>
      <c r="G652" s="16" t="n"/>
      <c r="H652" s="15" t="inlineStr">
        <is>
          <t>▼</t>
        </is>
      </c>
      <c r="I652" s="17">
        <f>IF(C652="","",D652+IF(F652="Ambil Obat",IF(G652="",0,G652),0))</f>
        <v/>
      </c>
      <c r="J652" s="12">
        <f>$J$640</f>
        <v/>
      </c>
      <c r="K652" s="18" t="inlineStr">
        <is>
          <t>▼</t>
        </is>
      </c>
    </row>
    <row r="653" ht="21.75" customHeight="1" s="314">
      <c r="A653" s="6">
        <f>IF(C653="","",973)</f>
        <v/>
      </c>
      <c r="B653" s="7" t="n">
        <v>46177</v>
      </c>
      <c r="C653" s="8" t="n"/>
      <c r="D653" s="9" t="n"/>
      <c r="E653" s="10" t="inlineStr">
        <is>
          <t>▼</t>
        </is>
      </c>
      <c r="F653" s="10" t="inlineStr">
        <is>
          <t>▼</t>
        </is>
      </c>
      <c r="G653" s="9" t="n"/>
      <c r="H653" s="10" t="inlineStr">
        <is>
          <t>▼</t>
        </is>
      </c>
      <c r="I653" s="11">
        <f>IF(C653="","",D653+IF(F653="Ambil Obat",IF(G653="",0,G653),0))</f>
        <v/>
      </c>
      <c r="J653" s="12">
        <f>$J$640</f>
        <v/>
      </c>
      <c r="K653" s="13" t="inlineStr">
        <is>
          <t>▼</t>
        </is>
      </c>
    </row>
    <row r="654" ht="21.75" customHeight="1" s="314">
      <c r="A654" s="32">
        <f>IF(C654="","",974)</f>
        <v/>
      </c>
      <c r="B654" s="7" t="n">
        <v>46177</v>
      </c>
      <c r="C654" s="14" t="n"/>
      <c r="D654" s="16" t="n"/>
      <c r="E654" s="15" t="inlineStr">
        <is>
          <t>▼</t>
        </is>
      </c>
      <c r="F654" s="15" t="inlineStr">
        <is>
          <t>▼</t>
        </is>
      </c>
      <c r="G654" s="16" t="n"/>
      <c r="H654" s="15" t="inlineStr">
        <is>
          <t>▼</t>
        </is>
      </c>
      <c r="I654" s="17">
        <f>IF(C654="","",D654+IF(F654="Ambil Obat",IF(G654="",0,G654),0))</f>
        <v/>
      </c>
      <c r="J654" s="12">
        <f>$J$640</f>
        <v/>
      </c>
      <c r="K654" s="18" t="inlineStr">
        <is>
          <t>▼</t>
        </is>
      </c>
    </row>
    <row r="655" ht="21.75" customHeight="1" s="314">
      <c r="A655" s="6">
        <f>IF(C655="","",975)</f>
        <v/>
      </c>
      <c r="B655" s="7" t="n">
        <v>46177</v>
      </c>
      <c r="C655" s="8" t="n"/>
      <c r="D655" s="9" t="n"/>
      <c r="E655" s="10" t="inlineStr">
        <is>
          <t>▼</t>
        </is>
      </c>
      <c r="F655" s="10" t="inlineStr">
        <is>
          <t>▼</t>
        </is>
      </c>
      <c r="G655" s="9" t="n"/>
      <c r="H655" s="10" t="inlineStr">
        <is>
          <t>▼</t>
        </is>
      </c>
      <c r="I655" s="11">
        <f>IF(C655="","",D655+IF(F655="Ambil Obat",IF(G655="",0,G655),0))</f>
        <v/>
      </c>
      <c r="J655" s="12">
        <f>$J$640</f>
        <v/>
      </c>
      <c r="K655" s="13" t="inlineStr">
        <is>
          <t>▼</t>
        </is>
      </c>
    </row>
    <row r="656" ht="24" customHeight="1" s="314">
      <c r="A656" s="248">
        <f>IF(COUNTA(C641:C655)=0,"— belum ada data —","📊 Sub-total  "&amp; TEXT(B641,"DD MMM YYYY") &amp;"  ("&amp;COUNTA(C641:C655)&amp;" pasien)")</f>
        <v/>
      </c>
      <c r="B656" s="316" t="n"/>
      <c r="C656" s="316" t="n"/>
      <c r="D656" s="19">
        <f>IF(COUNTA(C641:C655)=0,"",SUM(D641:D655))</f>
        <v/>
      </c>
      <c r="E656" s="20">
        <f>IF(COUNTA(C641:C655)=0,"",SUMIF(E641:E655,"Cash",D641:D655))</f>
        <v/>
      </c>
      <c r="F656" s="21">
        <f>IF(COUNTA(C641:C655)=0,"",SUMIF(E641:E655,"Transfer Bank",D641:D655))</f>
        <v/>
      </c>
      <c r="G656" s="19">
        <f>IF(COUNTA(C641:C655)=0,"",SUMIF(F641:F655,"Ambil Obat",G641:G655))</f>
        <v/>
      </c>
      <c r="H656" s="20">
        <f>IF(COUNTA(C641:C655)=0,"",SUMIFS(G641:G655,H641:H655,"Cash",F641:F655,"Ambil Obat"))</f>
        <v/>
      </c>
      <c r="I656" s="21">
        <f>IF(COUNTA(C641:C655)=0,"",SUMIFS(G641:G655,H641:H655,"Transfer Bank",F641:F655,"Ambil Obat"))</f>
        <v/>
      </c>
      <c r="J656" s="22" t="n"/>
      <c r="K656" s="23">
        <f>IF(COUNTA(C641:C655)=0,"",D656+G656)</f>
        <v/>
      </c>
    </row>
    <row r="657" ht="24" customHeight="1" s="314">
      <c r="A657" s="249" t="inlineStr">
        <is>
          <t>📅  Jumat, 05 Juni 2026</t>
        </is>
      </c>
      <c r="B657" s="5" t="n"/>
      <c r="C657" s="5" t="n"/>
      <c r="D657" s="5" t="n"/>
      <c r="E657" s="5" t="n"/>
      <c r="F657" s="5" t="n"/>
      <c r="G657" s="5" t="n"/>
      <c r="H657" s="5" t="n"/>
      <c r="I657" s="5" t="n"/>
      <c r="J657" s="4" t="inlineStr">
        <is>
          <t>dr. JOJO</t>
        </is>
      </c>
      <c r="K657" s="5" t="n"/>
    </row>
    <row r="658" ht="21.75" customHeight="1" s="314">
      <c r="A658" s="6">
        <f>IF(C658="","",976)</f>
        <v/>
      </c>
      <c r="B658" s="7" t="n">
        <v>46178</v>
      </c>
      <c r="C658" s="8" t="n"/>
      <c r="D658" s="9" t="n"/>
      <c r="E658" s="10" t="inlineStr">
        <is>
          <t>▼</t>
        </is>
      </c>
      <c r="F658" s="10" t="inlineStr">
        <is>
          <t>▼</t>
        </is>
      </c>
      <c r="G658" s="9" t="n"/>
      <c r="H658" s="10" t="inlineStr">
        <is>
          <t>▼</t>
        </is>
      </c>
      <c r="I658" s="11">
        <f>IF(C658="","",D658+IF(F658="Ambil Obat",IF(G658="",0,G658),0))</f>
        <v/>
      </c>
      <c r="J658" s="12">
        <f>$J$657</f>
        <v/>
      </c>
      <c r="K658" s="13" t="inlineStr">
        <is>
          <t>▼</t>
        </is>
      </c>
    </row>
    <row r="659" ht="21.75" customHeight="1" s="314">
      <c r="A659" s="32">
        <f>IF(C659="","",977)</f>
        <v/>
      </c>
      <c r="B659" s="7" t="n">
        <v>46178</v>
      </c>
      <c r="C659" s="14" t="n"/>
      <c r="D659" s="16" t="n"/>
      <c r="E659" s="15" t="inlineStr">
        <is>
          <t>▼</t>
        </is>
      </c>
      <c r="F659" s="15" t="inlineStr">
        <is>
          <t>▼</t>
        </is>
      </c>
      <c r="G659" s="16" t="n"/>
      <c r="H659" s="15" t="inlineStr">
        <is>
          <t>▼</t>
        </is>
      </c>
      <c r="I659" s="17">
        <f>IF(C659="","",D659+IF(F659="Ambil Obat",IF(G659="",0,G659),0))</f>
        <v/>
      </c>
      <c r="J659" s="12">
        <f>$J$657</f>
        <v/>
      </c>
      <c r="K659" s="18" t="inlineStr">
        <is>
          <t>▼</t>
        </is>
      </c>
    </row>
    <row r="660" ht="21.75" customHeight="1" s="314">
      <c r="A660" s="6">
        <f>IF(C660="","",978)</f>
        <v/>
      </c>
      <c r="B660" s="7" t="n">
        <v>46178</v>
      </c>
      <c r="C660" s="8" t="n"/>
      <c r="D660" s="9" t="n"/>
      <c r="E660" s="10" t="inlineStr">
        <is>
          <t>▼</t>
        </is>
      </c>
      <c r="F660" s="10" t="inlineStr">
        <is>
          <t>▼</t>
        </is>
      </c>
      <c r="G660" s="9" t="n"/>
      <c r="H660" s="10" t="inlineStr">
        <is>
          <t>▼</t>
        </is>
      </c>
      <c r="I660" s="11">
        <f>IF(C660="","",D660+IF(F660="Ambil Obat",IF(G660="",0,G660),0))</f>
        <v/>
      </c>
      <c r="J660" s="12">
        <f>$J$657</f>
        <v/>
      </c>
      <c r="K660" s="13" t="inlineStr">
        <is>
          <t>▼</t>
        </is>
      </c>
    </row>
    <row r="661" ht="21.75" customHeight="1" s="314">
      <c r="A661" s="32">
        <f>IF(C661="","",979)</f>
        <v/>
      </c>
      <c r="B661" s="7" t="n">
        <v>46178</v>
      </c>
      <c r="C661" s="14" t="n"/>
      <c r="D661" s="16" t="n"/>
      <c r="E661" s="15" t="inlineStr">
        <is>
          <t>▼</t>
        </is>
      </c>
      <c r="F661" s="15" t="inlineStr">
        <is>
          <t>▼</t>
        </is>
      </c>
      <c r="G661" s="16" t="n"/>
      <c r="H661" s="15" t="inlineStr">
        <is>
          <t>▼</t>
        </is>
      </c>
      <c r="I661" s="17">
        <f>IF(C661="","",D661+IF(F661="Ambil Obat",IF(G661="",0,G661),0))</f>
        <v/>
      </c>
      <c r="J661" s="12">
        <f>$J$657</f>
        <v/>
      </c>
      <c r="K661" s="18" t="inlineStr">
        <is>
          <t>▼</t>
        </is>
      </c>
    </row>
    <row r="662" ht="21.75" customHeight="1" s="314">
      <c r="A662" s="6">
        <f>IF(C662="","",980)</f>
        <v/>
      </c>
      <c r="B662" s="7" t="n">
        <v>46178</v>
      </c>
      <c r="C662" s="8" t="n"/>
      <c r="D662" s="9" t="n"/>
      <c r="E662" s="10" t="inlineStr">
        <is>
          <t>▼</t>
        </is>
      </c>
      <c r="F662" s="10" t="inlineStr">
        <is>
          <t>▼</t>
        </is>
      </c>
      <c r="G662" s="9" t="n"/>
      <c r="H662" s="10" t="inlineStr">
        <is>
          <t>▼</t>
        </is>
      </c>
      <c r="I662" s="11">
        <f>IF(C662="","",D662+IF(F662="Ambil Obat",IF(G662="",0,G662),0))</f>
        <v/>
      </c>
      <c r="J662" s="12">
        <f>$J$657</f>
        <v/>
      </c>
      <c r="K662" s="13" t="inlineStr">
        <is>
          <t>▼</t>
        </is>
      </c>
    </row>
    <row r="663" ht="21.75" customHeight="1" s="314">
      <c r="A663" s="32">
        <f>IF(C663="","",981)</f>
        <v/>
      </c>
      <c r="B663" s="7" t="n">
        <v>46178</v>
      </c>
      <c r="C663" s="14" t="n"/>
      <c r="D663" s="16" t="n"/>
      <c r="E663" s="15" t="inlineStr">
        <is>
          <t>▼</t>
        </is>
      </c>
      <c r="F663" s="15" t="inlineStr">
        <is>
          <t>▼</t>
        </is>
      </c>
      <c r="G663" s="16" t="n"/>
      <c r="H663" s="15" t="inlineStr">
        <is>
          <t>▼</t>
        </is>
      </c>
      <c r="I663" s="17">
        <f>IF(C663="","",D663+IF(F663="Ambil Obat",IF(G663="",0,G663),0))</f>
        <v/>
      </c>
      <c r="J663" s="12">
        <f>$J$657</f>
        <v/>
      </c>
      <c r="K663" s="18" t="inlineStr">
        <is>
          <t>▼</t>
        </is>
      </c>
    </row>
    <row r="664" ht="21.75" customHeight="1" s="314">
      <c r="A664" s="6">
        <f>IF(C664="","",982)</f>
        <v/>
      </c>
      <c r="B664" s="7" t="n">
        <v>46178</v>
      </c>
      <c r="C664" s="8" t="n"/>
      <c r="D664" s="9" t="n"/>
      <c r="E664" s="10" t="inlineStr">
        <is>
          <t>▼</t>
        </is>
      </c>
      <c r="F664" s="10" t="inlineStr">
        <is>
          <t>▼</t>
        </is>
      </c>
      <c r="G664" s="9" t="n"/>
      <c r="H664" s="10" t="inlineStr">
        <is>
          <t>▼</t>
        </is>
      </c>
      <c r="I664" s="11">
        <f>IF(C664="","",D664+IF(F664="Ambil Obat",IF(G664="",0,G664),0))</f>
        <v/>
      </c>
      <c r="J664" s="12">
        <f>$J$657</f>
        <v/>
      </c>
      <c r="K664" s="13" t="inlineStr">
        <is>
          <t>▼</t>
        </is>
      </c>
    </row>
    <row r="665" ht="21.75" customHeight="1" s="314">
      <c r="A665" s="32">
        <f>IF(C665="","",983)</f>
        <v/>
      </c>
      <c r="B665" s="7" t="n">
        <v>46178</v>
      </c>
      <c r="C665" s="14" t="n"/>
      <c r="D665" s="16" t="n"/>
      <c r="E665" s="15" t="inlineStr">
        <is>
          <t>▼</t>
        </is>
      </c>
      <c r="F665" s="15" t="inlineStr">
        <is>
          <t>▼</t>
        </is>
      </c>
      <c r="G665" s="16" t="n"/>
      <c r="H665" s="15" t="inlineStr">
        <is>
          <t>▼</t>
        </is>
      </c>
      <c r="I665" s="17">
        <f>IF(C665="","",D665+IF(F665="Ambil Obat",IF(G665="",0,G665),0))</f>
        <v/>
      </c>
      <c r="J665" s="12">
        <f>$J$657</f>
        <v/>
      </c>
      <c r="K665" s="18" t="inlineStr">
        <is>
          <t>▼</t>
        </is>
      </c>
    </row>
    <row r="666" ht="21.75" customHeight="1" s="314">
      <c r="A666" s="6">
        <f>IF(C666="","",984)</f>
        <v/>
      </c>
      <c r="B666" s="7" t="n">
        <v>46178</v>
      </c>
      <c r="C666" s="8" t="n"/>
      <c r="D666" s="9" t="n"/>
      <c r="E666" s="10" t="inlineStr">
        <is>
          <t>▼</t>
        </is>
      </c>
      <c r="F666" s="10" t="inlineStr">
        <is>
          <t>▼</t>
        </is>
      </c>
      <c r="G666" s="9" t="n"/>
      <c r="H666" s="10" t="inlineStr">
        <is>
          <t>▼</t>
        </is>
      </c>
      <c r="I666" s="11">
        <f>IF(C666="","",D666+IF(F666="Ambil Obat",IF(G666="",0,G666),0))</f>
        <v/>
      </c>
      <c r="J666" s="12">
        <f>$J$657</f>
        <v/>
      </c>
      <c r="K666" s="13" t="inlineStr">
        <is>
          <t>▼</t>
        </is>
      </c>
    </row>
    <row r="667" ht="21.75" customHeight="1" s="314">
      <c r="A667" s="32">
        <f>IF(C667="","",985)</f>
        <v/>
      </c>
      <c r="B667" s="7" t="n">
        <v>46178</v>
      </c>
      <c r="C667" s="14" t="n"/>
      <c r="D667" s="16" t="n"/>
      <c r="E667" s="15" t="inlineStr">
        <is>
          <t>▼</t>
        </is>
      </c>
      <c r="F667" s="15" t="inlineStr">
        <is>
          <t>▼</t>
        </is>
      </c>
      <c r="G667" s="16" t="n"/>
      <c r="H667" s="15" t="inlineStr">
        <is>
          <t>▼</t>
        </is>
      </c>
      <c r="I667" s="17">
        <f>IF(C667="","",D667+IF(F667="Ambil Obat",IF(G667="",0,G667),0))</f>
        <v/>
      </c>
      <c r="J667" s="12">
        <f>$J$657</f>
        <v/>
      </c>
      <c r="K667" s="18" t="inlineStr">
        <is>
          <t>▼</t>
        </is>
      </c>
    </row>
    <row r="668" ht="21.75" customHeight="1" s="314">
      <c r="A668" s="6">
        <f>IF(C668="","",986)</f>
        <v/>
      </c>
      <c r="B668" s="7" t="n">
        <v>46178</v>
      </c>
      <c r="C668" s="8" t="n"/>
      <c r="D668" s="9" t="n"/>
      <c r="E668" s="10" t="inlineStr">
        <is>
          <t>▼</t>
        </is>
      </c>
      <c r="F668" s="10" t="inlineStr">
        <is>
          <t>▼</t>
        </is>
      </c>
      <c r="G668" s="9" t="n"/>
      <c r="H668" s="10" t="inlineStr">
        <is>
          <t>▼</t>
        </is>
      </c>
      <c r="I668" s="11">
        <f>IF(C668="","",D668+IF(F668="Ambil Obat",IF(G668="",0,G668),0))</f>
        <v/>
      </c>
      <c r="J668" s="12">
        <f>$J$657</f>
        <v/>
      </c>
      <c r="K668" s="13" t="inlineStr">
        <is>
          <t>▼</t>
        </is>
      </c>
    </row>
    <row r="669" ht="21.75" customHeight="1" s="314">
      <c r="A669" s="32">
        <f>IF(C669="","",987)</f>
        <v/>
      </c>
      <c r="B669" s="7" t="n">
        <v>46178</v>
      </c>
      <c r="C669" s="14" t="n"/>
      <c r="D669" s="16" t="n"/>
      <c r="E669" s="15" t="inlineStr">
        <is>
          <t>▼</t>
        </is>
      </c>
      <c r="F669" s="15" t="inlineStr">
        <is>
          <t>▼</t>
        </is>
      </c>
      <c r="G669" s="16" t="n"/>
      <c r="H669" s="15" t="inlineStr">
        <is>
          <t>▼</t>
        </is>
      </c>
      <c r="I669" s="17">
        <f>IF(C669="","",D669+IF(F669="Ambil Obat",IF(G669="",0,G669),0))</f>
        <v/>
      </c>
      <c r="J669" s="12">
        <f>$J$657</f>
        <v/>
      </c>
      <c r="K669" s="18" t="inlineStr">
        <is>
          <t>▼</t>
        </is>
      </c>
    </row>
    <row r="670" ht="21.75" customHeight="1" s="314">
      <c r="A670" s="6">
        <f>IF(C670="","",988)</f>
        <v/>
      </c>
      <c r="B670" s="7" t="n">
        <v>46178</v>
      </c>
      <c r="C670" s="8" t="n"/>
      <c r="D670" s="9" t="n"/>
      <c r="E670" s="10" t="inlineStr">
        <is>
          <t>▼</t>
        </is>
      </c>
      <c r="F670" s="10" t="inlineStr">
        <is>
          <t>▼</t>
        </is>
      </c>
      <c r="G670" s="9" t="n"/>
      <c r="H670" s="10" t="inlineStr">
        <is>
          <t>▼</t>
        </is>
      </c>
      <c r="I670" s="11">
        <f>IF(C670="","",D670+IF(F670="Ambil Obat",IF(G670="",0,G670),0))</f>
        <v/>
      </c>
      <c r="J670" s="12">
        <f>$J$657</f>
        <v/>
      </c>
      <c r="K670" s="13" t="inlineStr">
        <is>
          <t>▼</t>
        </is>
      </c>
    </row>
    <row r="671" ht="21.75" customHeight="1" s="314">
      <c r="A671" s="32">
        <f>IF(C671="","",989)</f>
        <v/>
      </c>
      <c r="B671" s="7" t="n">
        <v>46178</v>
      </c>
      <c r="C671" s="14" t="n"/>
      <c r="D671" s="16" t="n"/>
      <c r="E671" s="15" t="inlineStr">
        <is>
          <t>▼</t>
        </is>
      </c>
      <c r="F671" s="15" t="inlineStr">
        <is>
          <t>▼</t>
        </is>
      </c>
      <c r="G671" s="16" t="n"/>
      <c r="H671" s="15" t="inlineStr">
        <is>
          <t>▼</t>
        </is>
      </c>
      <c r="I671" s="17">
        <f>IF(C671="","",D671+IF(F671="Ambil Obat",IF(G671="",0,G671),0))</f>
        <v/>
      </c>
      <c r="J671" s="12">
        <f>$J$657</f>
        <v/>
      </c>
      <c r="K671" s="18" t="inlineStr">
        <is>
          <t>▼</t>
        </is>
      </c>
    </row>
    <row r="672" ht="21.75" customHeight="1" s="314">
      <c r="A672" s="6">
        <f>IF(C672="","",990)</f>
        <v/>
      </c>
      <c r="B672" s="7" t="n">
        <v>46178</v>
      </c>
      <c r="C672" s="8" t="n"/>
      <c r="D672" s="9" t="n"/>
      <c r="E672" s="10" t="inlineStr">
        <is>
          <t>▼</t>
        </is>
      </c>
      <c r="F672" s="10" t="inlineStr">
        <is>
          <t>▼</t>
        </is>
      </c>
      <c r="G672" s="9" t="n"/>
      <c r="H672" s="10" t="inlineStr">
        <is>
          <t>▼</t>
        </is>
      </c>
      <c r="I672" s="11">
        <f>IF(C672="","",D672+IF(F672="Ambil Obat",IF(G672="",0,G672),0))</f>
        <v/>
      </c>
      <c r="J672" s="12">
        <f>$J$657</f>
        <v/>
      </c>
      <c r="K672" s="13" t="inlineStr">
        <is>
          <t>▼</t>
        </is>
      </c>
    </row>
    <row r="673" ht="24" customHeight="1" s="314">
      <c r="A673" s="248">
        <f>IF(COUNTA(C658:C672)=0,"— belum ada data —","📊 Sub-total  "&amp; TEXT(B658,"DD MMM YYYY") &amp;"  ("&amp;COUNTA(C658:C672)&amp;" pasien)")</f>
        <v/>
      </c>
      <c r="B673" s="316" t="n"/>
      <c r="C673" s="316" t="n"/>
      <c r="D673" s="19">
        <f>IF(COUNTA(C658:C672)=0,"",SUM(D658:D672))</f>
        <v/>
      </c>
      <c r="E673" s="20">
        <f>IF(COUNTA(C658:C672)=0,"",SUMIF(E658:E672,"Cash",D658:D672))</f>
        <v/>
      </c>
      <c r="F673" s="21">
        <f>IF(COUNTA(C658:C672)=0,"",SUMIF(E658:E672,"Transfer Bank",D658:D672))</f>
        <v/>
      </c>
      <c r="G673" s="19">
        <f>IF(COUNTA(C658:C672)=0,"",SUMIF(F658:F672,"Ambil Obat",G658:G672))</f>
        <v/>
      </c>
      <c r="H673" s="20">
        <f>IF(COUNTA(C658:C672)=0,"",SUMIFS(G658:G672,H658:H672,"Cash",F658:F672,"Ambil Obat"))</f>
        <v/>
      </c>
      <c r="I673" s="21">
        <f>IF(COUNTA(C658:C672)=0,"",SUMIFS(G658:G672,H658:H672,"Transfer Bank",F658:F672,"Ambil Obat"))</f>
        <v/>
      </c>
      <c r="J673" s="22" t="n"/>
      <c r="K673" s="23">
        <f>IF(COUNTA(C658:C672)=0,"",D673+G673)</f>
        <v/>
      </c>
    </row>
    <row r="674" ht="24" customHeight="1" s="314">
      <c r="A674" s="249" t="inlineStr">
        <is>
          <t>📅  Sabtu, 06 Juni 2026</t>
        </is>
      </c>
      <c r="B674" s="5" t="n"/>
      <c r="C674" s="5" t="n"/>
      <c r="D674" s="5" t="n"/>
      <c r="E674" s="5" t="n"/>
      <c r="F674" s="5" t="n"/>
      <c r="G674" s="5" t="n"/>
      <c r="H674" s="5" t="n"/>
      <c r="I674" s="5" t="n"/>
      <c r="J674" s="4" t="inlineStr">
        <is>
          <t>dr. HAWA</t>
        </is>
      </c>
      <c r="K674" s="5" t="n"/>
    </row>
    <row r="675" ht="21.75" customHeight="1" s="314">
      <c r="A675" s="6">
        <f>IF(C675="","",991)</f>
        <v/>
      </c>
      <c r="B675" s="7" t="n">
        <v>46179</v>
      </c>
      <c r="C675" s="8" t="n"/>
      <c r="D675" s="9" t="n"/>
      <c r="E675" s="10" t="inlineStr">
        <is>
          <t>▼</t>
        </is>
      </c>
      <c r="F675" s="10" t="inlineStr">
        <is>
          <t>▼</t>
        </is>
      </c>
      <c r="G675" s="9" t="n"/>
      <c r="H675" s="10" t="inlineStr">
        <is>
          <t>▼</t>
        </is>
      </c>
      <c r="I675" s="11">
        <f>IF(C675="","",D675+IF(F675="Ambil Obat",IF(G675="",0,G675),0))</f>
        <v/>
      </c>
      <c r="J675" s="12">
        <f>$J$674</f>
        <v/>
      </c>
      <c r="K675" s="13" t="inlineStr">
        <is>
          <t>▼</t>
        </is>
      </c>
    </row>
    <row r="676" ht="21.75" customHeight="1" s="314">
      <c r="A676" s="32">
        <f>IF(C676="","",992)</f>
        <v/>
      </c>
      <c r="B676" s="7" t="n">
        <v>46179</v>
      </c>
      <c r="C676" s="14" t="n"/>
      <c r="D676" s="16" t="n"/>
      <c r="E676" s="15" t="inlineStr">
        <is>
          <t>▼</t>
        </is>
      </c>
      <c r="F676" s="15" t="inlineStr">
        <is>
          <t>▼</t>
        </is>
      </c>
      <c r="G676" s="16" t="n"/>
      <c r="H676" s="15" t="inlineStr">
        <is>
          <t>▼</t>
        </is>
      </c>
      <c r="I676" s="17">
        <f>IF(C676="","",D676+IF(F676="Ambil Obat",IF(G676="",0,G676),0))</f>
        <v/>
      </c>
      <c r="J676" s="12">
        <f>$J$674</f>
        <v/>
      </c>
      <c r="K676" s="18" t="inlineStr">
        <is>
          <t>▼</t>
        </is>
      </c>
    </row>
    <row r="677" ht="21.75" customHeight="1" s="314">
      <c r="A677" s="6">
        <f>IF(C677="","",993)</f>
        <v/>
      </c>
      <c r="B677" s="7" t="n">
        <v>46179</v>
      </c>
      <c r="C677" s="8" t="n"/>
      <c r="D677" s="9" t="n"/>
      <c r="E677" s="10" t="inlineStr">
        <is>
          <t>▼</t>
        </is>
      </c>
      <c r="F677" s="10" t="inlineStr">
        <is>
          <t>▼</t>
        </is>
      </c>
      <c r="G677" s="9" t="n"/>
      <c r="H677" s="10" t="inlineStr">
        <is>
          <t>▼</t>
        </is>
      </c>
      <c r="I677" s="11">
        <f>IF(C677="","",D677+IF(F677="Ambil Obat",IF(G677="",0,G677),0))</f>
        <v/>
      </c>
      <c r="J677" s="12">
        <f>$J$674</f>
        <v/>
      </c>
      <c r="K677" s="13" t="inlineStr">
        <is>
          <t>▼</t>
        </is>
      </c>
    </row>
    <row r="678" ht="21.75" customHeight="1" s="314">
      <c r="A678" s="32">
        <f>IF(C678="","",994)</f>
        <v/>
      </c>
      <c r="B678" s="7" t="n">
        <v>46179</v>
      </c>
      <c r="C678" s="14" t="n"/>
      <c r="D678" s="16" t="n"/>
      <c r="E678" s="15" t="inlineStr">
        <is>
          <t>▼</t>
        </is>
      </c>
      <c r="F678" s="15" t="inlineStr">
        <is>
          <t>▼</t>
        </is>
      </c>
      <c r="G678" s="16" t="n"/>
      <c r="H678" s="15" t="inlineStr">
        <is>
          <t>▼</t>
        </is>
      </c>
      <c r="I678" s="17">
        <f>IF(C678="","",D678+IF(F678="Ambil Obat",IF(G678="",0,G678),0))</f>
        <v/>
      </c>
      <c r="J678" s="12">
        <f>$J$674</f>
        <v/>
      </c>
      <c r="K678" s="18" t="inlineStr">
        <is>
          <t>▼</t>
        </is>
      </c>
    </row>
    <row r="679" ht="21.75" customHeight="1" s="314">
      <c r="A679" s="6">
        <f>IF(C679="","",995)</f>
        <v/>
      </c>
      <c r="B679" s="7" t="n">
        <v>46179</v>
      </c>
      <c r="C679" s="8" t="n"/>
      <c r="D679" s="9" t="n"/>
      <c r="E679" s="10" t="inlineStr">
        <is>
          <t>▼</t>
        </is>
      </c>
      <c r="F679" s="10" t="inlineStr">
        <is>
          <t>▼</t>
        </is>
      </c>
      <c r="G679" s="9" t="n"/>
      <c r="H679" s="10" t="inlineStr">
        <is>
          <t>▼</t>
        </is>
      </c>
      <c r="I679" s="11">
        <f>IF(C679="","",D679+IF(F679="Ambil Obat",IF(G679="",0,G679),0))</f>
        <v/>
      </c>
      <c r="J679" s="12">
        <f>$J$674</f>
        <v/>
      </c>
      <c r="K679" s="13" t="inlineStr">
        <is>
          <t>▼</t>
        </is>
      </c>
    </row>
    <row r="680" ht="21.75" customHeight="1" s="314">
      <c r="A680" s="32">
        <f>IF(C680="","",996)</f>
        <v/>
      </c>
      <c r="B680" s="7" t="n">
        <v>46179</v>
      </c>
      <c r="C680" s="14" t="n"/>
      <c r="D680" s="16" t="n"/>
      <c r="E680" s="15" t="inlineStr">
        <is>
          <t>▼</t>
        </is>
      </c>
      <c r="F680" s="15" t="inlineStr">
        <is>
          <t>▼</t>
        </is>
      </c>
      <c r="G680" s="16" t="n"/>
      <c r="H680" s="15" t="inlineStr">
        <is>
          <t>▼</t>
        </is>
      </c>
      <c r="I680" s="17">
        <f>IF(C680="","",D680+IF(F680="Ambil Obat",IF(G680="",0,G680),0))</f>
        <v/>
      </c>
      <c r="J680" s="12">
        <f>$J$674</f>
        <v/>
      </c>
      <c r="K680" s="18" t="inlineStr">
        <is>
          <t>▼</t>
        </is>
      </c>
    </row>
    <row r="681" ht="21.75" customHeight="1" s="314">
      <c r="A681" s="6">
        <f>IF(C681="","",997)</f>
        <v/>
      </c>
      <c r="B681" s="7" t="n">
        <v>46179</v>
      </c>
      <c r="C681" s="8" t="n"/>
      <c r="D681" s="9" t="n"/>
      <c r="E681" s="10" t="inlineStr">
        <is>
          <t>▼</t>
        </is>
      </c>
      <c r="F681" s="10" t="inlineStr">
        <is>
          <t>▼</t>
        </is>
      </c>
      <c r="G681" s="9" t="n"/>
      <c r="H681" s="10" t="inlineStr">
        <is>
          <t>▼</t>
        </is>
      </c>
      <c r="I681" s="11">
        <f>IF(C681="","",D681+IF(F681="Ambil Obat",IF(G681="",0,G681),0))</f>
        <v/>
      </c>
      <c r="J681" s="12">
        <f>$J$674</f>
        <v/>
      </c>
      <c r="K681" s="13" t="inlineStr">
        <is>
          <t>▼</t>
        </is>
      </c>
    </row>
    <row r="682" ht="21.75" customHeight="1" s="314">
      <c r="A682" s="32">
        <f>IF(C682="","",998)</f>
        <v/>
      </c>
      <c r="B682" s="7" t="n">
        <v>46179</v>
      </c>
      <c r="C682" s="14" t="n"/>
      <c r="D682" s="16" t="n"/>
      <c r="E682" s="15" t="inlineStr">
        <is>
          <t>▼</t>
        </is>
      </c>
      <c r="F682" s="15" t="inlineStr">
        <is>
          <t>▼</t>
        </is>
      </c>
      <c r="G682" s="16" t="n"/>
      <c r="H682" s="15" t="inlineStr">
        <is>
          <t>▼</t>
        </is>
      </c>
      <c r="I682" s="17">
        <f>IF(C682="","",D682+IF(F682="Ambil Obat",IF(G682="",0,G682),0))</f>
        <v/>
      </c>
      <c r="J682" s="12">
        <f>$J$674</f>
        <v/>
      </c>
      <c r="K682" s="18" t="inlineStr">
        <is>
          <t>▼</t>
        </is>
      </c>
    </row>
    <row r="683" ht="21.75" customHeight="1" s="314">
      <c r="A683" s="6">
        <f>IF(C683="","",999)</f>
        <v/>
      </c>
      <c r="B683" s="7" t="n">
        <v>46179</v>
      </c>
      <c r="C683" s="8" t="n"/>
      <c r="D683" s="9" t="n"/>
      <c r="E683" s="10" t="inlineStr">
        <is>
          <t>▼</t>
        </is>
      </c>
      <c r="F683" s="10" t="inlineStr">
        <is>
          <t>▼</t>
        </is>
      </c>
      <c r="G683" s="9" t="n"/>
      <c r="H683" s="10" t="inlineStr">
        <is>
          <t>▼</t>
        </is>
      </c>
      <c r="I683" s="11">
        <f>IF(C683="","",D683+IF(F683="Ambil Obat",IF(G683="",0,G683),0))</f>
        <v/>
      </c>
      <c r="J683" s="12">
        <f>$J$674</f>
        <v/>
      </c>
      <c r="K683" s="13" t="inlineStr">
        <is>
          <t>▼</t>
        </is>
      </c>
    </row>
    <row r="684" ht="21.75" customHeight="1" s="314">
      <c r="A684" s="32">
        <f>IF(C684="","",1000)</f>
        <v/>
      </c>
      <c r="B684" s="7" t="n">
        <v>46179</v>
      </c>
      <c r="C684" s="14" t="n"/>
      <c r="D684" s="16" t="n"/>
      <c r="E684" s="15" t="inlineStr">
        <is>
          <t>▼</t>
        </is>
      </c>
      <c r="F684" s="15" t="inlineStr">
        <is>
          <t>▼</t>
        </is>
      </c>
      <c r="G684" s="16" t="n"/>
      <c r="H684" s="15" t="inlineStr">
        <is>
          <t>▼</t>
        </is>
      </c>
      <c r="I684" s="17">
        <f>IF(C684="","",D684+IF(F684="Ambil Obat",IF(G684="",0,G684),0))</f>
        <v/>
      </c>
      <c r="J684" s="12">
        <f>$J$674</f>
        <v/>
      </c>
      <c r="K684" s="18" t="inlineStr">
        <is>
          <t>▼</t>
        </is>
      </c>
    </row>
    <row r="685" ht="21.75" customHeight="1" s="314">
      <c r="A685" s="6">
        <f>IF(C685="","",1001)</f>
        <v/>
      </c>
      <c r="B685" s="7" t="n">
        <v>46179</v>
      </c>
      <c r="C685" s="8" t="n"/>
      <c r="D685" s="9" t="n"/>
      <c r="E685" s="10" t="inlineStr">
        <is>
          <t>▼</t>
        </is>
      </c>
      <c r="F685" s="10" t="inlineStr">
        <is>
          <t>▼</t>
        </is>
      </c>
      <c r="G685" s="9" t="n"/>
      <c r="H685" s="10" t="inlineStr">
        <is>
          <t>▼</t>
        </is>
      </c>
      <c r="I685" s="11">
        <f>IF(C685="","",D685+IF(F685="Ambil Obat",IF(G685="",0,G685),0))</f>
        <v/>
      </c>
      <c r="J685" s="12">
        <f>$J$674</f>
        <v/>
      </c>
      <c r="K685" s="13" t="inlineStr">
        <is>
          <t>▼</t>
        </is>
      </c>
    </row>
    <row r="686" ht="21.75" customHeight="1" s="314">
      <c r="A686" s="32">
        <f>IF(C686="","",1002)</f>
        <v/>
      </c>
      <c r="B686" s="7" t="n">
        <v>46179</v>
      </c>
      <c r="C686" s="14" t="n"/>
      <c r="D686" s="16" t="n"/>
      <c r="E686" s="15" t="inlineStr">
        <is>
          <t>▼</t>
        </is>
      </c>
      <c r="F686" s="15" t="inlineStr">
        <is>
          <t>▼</t>
        </is>
      </c>
      <c r="G686" s="16" t="n"/>
      <c r="H686" s="15" t="inlineStr">
        <is>
          <t>▼</t>
        </is>
      </c>
      <c r="I686" s="17">
        <f>IF(C686="","",D686+IF(F686="Ambil Obat",IF(G686="",0,G686),0))</f>
        <v/>
      </c>
      <c r="J686" s="12">
        <f>$J$674</f>
        <v/>
      </c>
      <c r="K686" s="18" t="inlineStr">
        <is>
          <t>▼</t>
        </is>
      </c>
    </row>
    <row r="687" ht="21.75" customHeight="1" s="314">
      <c r="A687" s="6">
        <f>IF(C687="","",1003)</f>
        <v/>
      </c>
      <c r="B687" s="7" t="n">
        <v>46179</v>
      </c>
      <c r="C687" s="8" t="n"/>
      <c r="D687" s="9" t="n"/>
      <c r="E687" s="10" t="inlineStr">
        <is>
          <t>▼</t>
        </is>
      </c>
      <c r="F687" s="10" t="inlineStr">
        <is>
          <t>▼</t>
        </is>
      </c>
      <c r="G687" s="9" t="n"/>
      <c r="H687" s="10" t="inlineStr">
        <is>
          <t>▼</t>
        </is>
      </c>
      <c r="I687" s="11">
        <f>IF(C687="","",D687+IF(F687="Ambil Obat",IF(G687="",0,G687),0))</f>
        <v/>
      </c>
      <c r="J687" s="12">
        <f>$J$674</f>
        <v/>
      </c>
      <c r="K687" s="13" t="inlineStr">
        <is>
          <t>▼</t>
        </is>
      </c>
    </row>
    <row r="688" ht="21.75" customHeight="1" s="314">
      <c r="A688" s="32">
        <f>IF(C688="","",1004)</f>
        <v/>
      </c>
      <c r="B688" s="7" t="n">
        <v>46179</v>
      </c>
      <c r="C688" s="14" t="n"/>
      <c r="D688" s="16" t="n"/>
      <c r="E688" s="15" t="inlineStr">
        <is>
          <t>▼</t>
        </is>
      </c>
      <c r="F688" s="15" t="inlineStr">
        <is>
          <t>▼</t>
        </is>
      </c>
      <c r="G688" s="16" t="n"/>
      <c r="H688" s="15" t="inlineStr">
        <is>
          <t>▼</t>
        </is>
      </c>
      <c r="I688" s="17">
        <f>IF(C688="","",D688+IF(F688="Ambil Obat",IF(G688="",0,G688),0))</f>
        <v/>
      </c>
      <c r="J688" s="12">
        <f>$J$674</f>
        <v/>
      </c>
      <c r="K688" s="18" t="inlineStr">
        <is>
          <t>▼</t>
        </is>
      </c>
    </row>
    <row r="689" ht="21.75" customHeight="1" s="314">
      <c r="A689" s="6">
        <f>IF(C689="","",1005)</f>
        <v/>
      </c>
      <c r="B689" s="7" t="n">
        <v>46179</v>
      </c>
      <c r="C689" s="8" t="n"/>
      <c r="D689" s="9" t="n"/>
      <c r="E689" s="10" t="inlineStr">
        <is>
          <t>▼</t>
        </is>
      </c>
      <c r="F689" s="10" t="inlineStr">
        <is>
          <t>▼</t>
        </is>
      </c>
      <c r="G689" s="9" t="n"/>
      <c r="H689" s="10" t="inlineStr">
        <is>
          <t>▼</t>
        </is>
      </c>
      <c r="I689" s="11">
        <f>IF(C689="","",D689+IF(F689="Ambil Obat",IF(G689="",0,G689),0))</f>
        <v/>
      </c>
      <c r="J689" s="12">
        <f>$J$674</f>
        <v/>
      </c>
      <c r="K689" s="13" t="inlineStr">
        <is>
          <t>▼</t>
        </is>
      </c>
    </row>
    <row r="690" ht="24" customHeight="1" s="314">
      <c r="A690" s="248">
        <f>IF(COUNTA(C675:C689)=0,"— belum ada data —","📊 Sub-total  "&amp; TEXT(B675,"DD MMM YYYY") &amp;"  ("&amp;COUNTA(C675:C689)&amp;" pasien)")</f>
        <v/>
      </c>
      <c r="B690" s="316" t="n"/>
      <c r="C690" s="316" t="n"/>
      <c r="D690" s="19">
        <f>IF(COUNTA(C675:C689)=0,"",SUM(D675:D689))</f>
        <v/>
      </c>
      <c r="E690" s="20">
        <f>IF(COUNTA(C675:C689)=0,"",SUMIF(E675:E689,"Cash",D675:D689))</f>
        <v/>
      </c>
      <c r="F690" s="21">
        <f>IF(COUNTA(C675:C689)=0,"",SUMIF(E675:E689,"Transfer Bank",D675:D689))</f>
        <v/>
      </c>
      <c r="G690" s="19">
        <f>IF(COUNTA(C675:C689)=0,"",SUMIF(F675:F689,"Ambil Obat",G675:G689))</f>
        <v/>
      </c>
      <c r="H690" s="20">
        <f>IF(COUNTA(C675:C689)=0,"",SUMIFS(G675:G689,H675:H689,"Cash",F675:F689,"Ambil Obat"))</f>
        <v/>
      </c>
      <c r="I690" s="21">
        <f>IF(COUNTA(C675:C689)=0,"",SUMIFS(G675:G689,H675:H689,"Transfer Bank",F675:F689,"Ambil Obat"))</f>
        <v/>
      </c>
      <c r="J690" s="22" t="n"/>
      <c r="K690" s="23">
        <f>IF(COUNTA(C675:C689)=0,"",D690+G690)</f>
        <v/>
      </c>
    </row>
    <row r="691" ht="24" customHeight="1" s="314">
      <c r="A691" s="249" t="inlineStr">
        <is>
          <t>📅  Minggu, 07 Juni 2026</t>
        </is>
      </c>
      <c r="B691" s="5" t="n"/>
      <c r="C691" s="5" t="n"/>
      <c r="D691" s="5" t="n"/>
      <c r="E691" s="5" t="n"/>
      <c r="F691" s="5" t="n"/>
      <c r="G691" s="5" t="n"/>
      <c r="H691" s="5" t="n"/>
      <c r="I691" s="5" t="n"/>
      <c r="J691" s="4" t="inlineStr">
        <is>
          <t>dr. HAWA</t>
        </is>
      </c>
      <c r="K691" s="5" t="n"/>
    </row>
    <row r="692" ht="21.75" customHeight="1" s="314">
      <c r="A692" s="6">
        <f>IF(C692="","",1006)</f>
        <v/>
      </c>
      <c r="B692" s="7" t="n">
        <v>46180</v>
      </c>
      <c r="C692" s="8" t="n"/>
      <c r="D692" s="9" t="n"/>
      <c r="E692" s="10" t="inlineStr">
        <is>
          <t>▼</t>
        </is>
      </c>
      <c r="F692" s="10" t="inlineStr">
        <is>
          <t>▼</t>
        </is>
      </c>
      <c r="G692" s="9" t="n"/>
      <c r="H692" s="10" t="inlineStr">
        <is>
          <t>▼</t>
        </is>
      </c>
      <c r="I692" s="11">
        <f>IF(C692="","",D692+IF(F692="Ambil Obat",IF(G692="",0,G692),0))</f>
        <v/>
      </c>
      <c r="J692" s="12">
        <f>$J$691</f>
        <v/>
      </c>
      <c r="K692" s="13" t="inlineStr">
        <is>
          <t>▼</t>
        </is>
      </c>
    </row>
    <row r="693" ht="21.75" customHeight="1" s="314">
      <c r="A693" s="32">
        <f>IF(C693="","",1007)</f>
        <v/>
      </c>
      <c r="B693" s="7" t="n">
        <v>46180</v>
      </c>
      <c r="C693" s="14" t="n"/>
      <c r="D693" s="16" t="n"/>
      <c r="E693" s="15" t="inlineStr">
        <is>
          <t>▼</t>
        </is>
      </c>
      <c r="F693" s="15" t="inlineStr">
        <is>
          <t>▼</t>
        </is>
      </c>
      <c r="G693" s="16" t="n"/>
      <c r="H693" s="15" t="inlineStr">
        <is>
          <t>▼</t>
        </is>
      </c>
      <c r="I693" s="17">
        <f>IF(C693="","",D693+IF(F693="Ambil Obat",IF(G693="",0,G693),0))</f>
        <v/>
      </c>
      <c r="J693" s="12">
        <f>$J$691</f>
        <v/>
      </c>
      <c r="K693" s="18" t="inlineStr">
        <is>
          <t>▼</t>
        </is>
      </c>
    </row>
    <row r="694" ht="21.75" customHeight="1" s="314">
      <c r="A694" s="6">
        <f>IF(C694="","",1008)</f>
        <v/>
      </c>
      <c r="B694" s="7" t="n">
        <v>46180</v>
      </c>
      <c r="C694" s="8" t="n"/>
      <c r="D694" s="9" t="n"/>
      <c r="E694" s="10" t="inlineStr">
        <is>
          <t>▼</t>
        </is>
      </c>
      <c r="F694" s="10" t="inlineStr">
        <is>
          <t>▼</t>
        </is>
      </c>
      <c r="G694" s="9" t="n"/>
      <c r="H694" s="10" t="inlineStr">
        <is>
          <t>▼</t>
        </is>
      </c>
      <c r="I694" s="11">
        <f>IF(C694="","",D694+IF(F694="Ambil Obat",IF(G694="",0,G694),0))</f>
        <v/>
      </c>
      <c r="J694" s="12">
        <f>$J$691</f>
        <v/>
      </c>
      <c r="K694" s="13" t="inlineStr">
        <is>
          <t>▼</t>
        </is>
      </c>
    </row>
    <row r="695" ht="21.75" customHeight="1" s="314">
      <c r="A695" s="32">
        <f>IF(C695="","",1009)</f>
        <v/>
      </c>
      <c r="B695" s="7" t="n">
        <v>46180</v>
      </c>
      <c r="C695" s="14" t="n"/>
      <c r="D695" s="16" t="n"/>
      <c r="E695" s="15" t="inlineStr">
        <is>
          <t>▼</t>
        </is>
      </c>
      <c r="F695" s="15" t="inlineStr">
        <is>
          <t>▼</t>
        </is>
      </c>
      <c r="G695" s="16" t="n"/>
      <c r="H695" s="15" t="inlineStr">
        <is>
          <t>▼</t>
        </is>
      </c>
      <c r="I695" s="17">
        <f>IF(C695="","",D695+IF(F695="Ambil Obat",IF(G695="",0,G695),0))</f>
        <v/>
      </c>
      <c r="J695" s="12">
        <f>$J$691</f>
        <v/>
      </c>
      <c r="K695" s="18" t="inlineStr">
        <is>
          <t>▼</t>
        </is>
      </c>
    </row>
    <row r="696" ht="21.75" customHeight="1" s="314">
      <c r="A696" s="6">
        <f>IF(C696="","",1010)</f>
        <v/>
      </c>
      <c r="B696" s="7" t="n">
        <v>46180</v>
      </c>
      <c r="C696" s="8" t="n"/>
      <c r="D696" s="9" t="n"/>
      <c r="E696" s="10" t="inlineStr">
        <is>
          <t>▼</t>
        </is>
      </c>
      <c r="F696" s="10" t="inlineStr">
        <is>
          <t>▼</t>
        </is>
      </c>
      <c r="G696" s="9" t="n"/>
      <c r="H696" s="10" t="inlineStr">
        <is>
          <t>▼</t>
        </is>
      </c>
      <c r="I696" s="11">
        <f>IF(C696="","",D696+IF(F696="Ambil Obat",IF(G696="",0,G696),0))</f>
        <v/>
      </c>
      <c r="J696" s="12">
        <f>$J$691</f>
        <v/>
      </c>
      <c r="K696" s="13" t="inlineStr">
        <is>
          <t>▼</t>
        </is>
      </c>
    </row>
    <row r="697" ht="21.75" customHeight="1" s="314">
      <c r="A697" s="32">
        <f>IF(C697="","",1011)</f>
        <v/>
      </c>
      <c r="B697" s="7" t="n">
        <v>46180</v>
      </c>
      <c r="C697" s="14" t="n"/>
      <c r="D697" s="16" t="n"/>
      <c r="E697" s="15" t="inlineStr">
        <is>
          <t>▼</t>
        </is>
      </c>
      <c r="F697" s="15" t="inlineStr">
        <is>
          <t>▼</t>
        </is>
      </c>
      <c r="G697" s="16" t="n"/>
      <c r="H697" s="15" t="inlineStr">
        <is>
          <t>▼</t>
        </is>
      </c>
      <c r="I697" s="17">
        <f>IF(C697="","",D697+IF(F697="Ambil Obat",IF(G697="",0,G697),0))</f>
        <v/>
      </c>
      <c r="J697" s="12">
        <f>$J$691</f>
        <v/>
      </c>
      <c r="K697" s="18" t="inlineStr">
        <is>
          <t>▼</t>
        </is>
      </c>
    </row>
    <row r="698" ht="21.75" customHeight="1" s="314">
      <c r="A698" s="6">
        <f>IF(C698="","",1012)</f>
        <v/>
      </c>
      <c r="B698" s="7" t="n">
        <v>46180</v>
      </c>
      <c r="C698" s="8" t="n"/>
      <c r="D698" s="9" t="n"/>
      <c r="E698" s="10" t="inlineStr">
        <is>
          <t>▼</t>
        </is>
      </c>
      <c r="F698" s="10" t="inlineStr">
        <is>
          <t>▼</t>
        </is>
      </c>
      <c r="G698" s="9" t="n"/>
      <c r="H698" s="10" t="inlineStr">
        <is>
          <t>▼</t>
        </is>
      </c>
      <c r="I698" s="11">
        <f>IF(C698="","",D698+IF(F698="Ambil Obat",IF(G698="",0,G698),0))</f>
        <v/>
      </c>
      <c r="J698" s="12">
        <f>$J$691</f>
        <v/>
      </c>
      <c r="K698" s="13" t="inlineStr">
        <is>
          <t>▼</t>
        </is>
      </c>
    </row>
    <row r="699" ht="21.75" customHeight="1" s="314">
      <c r="A699" s="32">
        <f>IF(C699="","",1013)</f>
        <v/>
      </c>
      <c r="B699" s="7" t="n">
        <v>46180</v>
      </c>
      <c r="C699" s="14" t="n"/>
      <c r="D699" s="16" t="n"/>
      <c r="E699" s="15" t="inlineStr">
        <is>
          <t>▼</t>
        </is>
      </c>
      <c r="F699" s="15" t="inlineStr">
        <is>
          <t>▼</t>
        </is>
      </c>
      <c r="G699" s="16" t="n"/>
      <c r="H699" s="15" t="inlineStr">
        <is>
          <t>▼</t>
        </is>
      </c>
      <c r="I699" s="17">
        <f>IF(C699="","",D699+IF(F699="Ambil Obat",IF(G699="",0,G699),0))</f>
        <v/>
      </c>
      <c r="J699" s="12">
        <f>$J$691</f>
        <v/>
      </c>
      <c r="K699" s="18" t="inlineStr">
        <is>
          <t>▼</t>
        </is>
      </c>
    </row>
    <row r="700" ht="21.75" customHeight="1" s="314">
      <c r="A700" s="6">
        <f>IF(C700="","",1014)</f>
        <v/>
      </c>
      <c r="B700" s="7" t="n">
        <v>46180</v>
      </c>
      <c r="C700" s="8" t="n"/>
      <c r="D700" s="9" t="n"/>
      <c r="E700" s="10" t="inlineStr">
        <is>
          <t>▼</t>
        </is>
      </c>
      <c r="F700" s="10" t="inlineStr">
        <is>
          <t>▼</t>
        </is>
      </c>
      <c r="G700" s="9" t="n"/>
      <c r="H700" s="10" t="inlineStr">
        <is>
          <t>▼</t>
        </is>
      </c>
      <c r="I700" s="11">
        <f>IF(C700="","",D700+IF(F700="Ambil Obat",IF(G700="",0,G700),0))</f>
        <v/>
      </c>
      <c r="J700" s="12">
        <f>$J$691</f>
        <v/>
      </c>
      <c r="K700" s="13" t="inlineStr">
        <is>
          <t>▼</t>
        </is>
      </c>
    </row>
    <row r="701" ht="21.75" customHeight="1" s="314">
      <c r="A701" s="32">
        <f>IF(C701="","",1015)</f>
        <v/>
      </c>
      <c r="B701" s="7" t="n">
        <v>46180</v>
      </c>
      <c r="C701" s="14" t="n"/>
      <c r="D701" s="16" t="n"/>
      <c r="E701" s="15" t="inlineStr">
        <is>
          <t>▼</t>
        </is>
      </c>
      <c r="F701" s="15" t="inlineStr">
        <is>
          <t>▼</t>
        </is>
      </c>
      <c r="G701" s="16" t="n"/>
      <c r="H701" s="15" t="inlineStr">
        <is>
          <t>▼</t>
        </is>
      </c>
      <c r="I701" s="17">
        <f>IF(C701="","",D701+IF(F701="Ambil Obat",IF(G701="",0,G701),0))</f>
        <v/>
      </c>
      <c r="J701" s="12">
        <f>$J$691</f>
        <v/>
      </c>
      <c r="K701" s="18" t="inlineStr">
        <is>
          <t>▼</t>
        </is>
      </c>
    </row>
    <row r="702" ht="21.75" customHeight="1" s="314">
      <c r="A702" s="6">
        <f>IF(C702="","",1016)</f>
        <v/>
      </c>
      <c r="B702" s="7" t="n">
        <v>46180</v>
      </c>
      <c r="C702" s="8" t="n"/>
      <c r="D702" s="9" t="n"/>
      <c r="E702" s="10" t="inlineStr">
        <is>
          <t>▼</t>
        </is>
      </c>
      <c r="F702" s="10" t="inlineStr">
        <is>
          <t>▼</t>
        </is>
      </c>
      <c r="G702" s="9" t="n"/>
      <c r="H702" s="10" t="inlineStr">
        <is>
          <t>▼</t>
        </is>
      </c>
      <c r="I702" s="11">
        <f>IF(C702="","",D702+IF(F702="Ambil Obat",IF(G702="",0,G702),0))</f>
        <v/>
      </c>
      <c r="J702" s="12">
        <f>$J$691</f>
        <v/>
      </c>
      <c r="K702" s="13" t="inlineStr">
        <is>
          <t>▼</t>
        </is>
      </c>
    </row>
    <row r="703" ht="21.75" customHeight="1" s="314">
      <c r="A703" s="32">
        <f>IF(C703="","",1017)</f>
        <v/>
      </c>
      <c r="B703" s="7" t="n">
        <v>46180</v>
      </c>
      <c r="C703" s="14" t="n"/>
      <c r="D703" s="16" t="n"/>
      <c r="E703" s="15" t="inlineStr">
        <is>
          <t>▼</t>
        </is>
      </c>
      <c r="F703" s="15" t="inlineStr">
        <is>
          <t>▼</t>
        </is>
      </c>
      <c r="G703" s="16" t="n"/>
      <c r="H703" s="15" t="inlineStr">
        <is>
          <t>▼</t>
        </is>
      </c>
      <c r="I703" s="17">
        <f>IF(C703="","",D703+IF(F703="Ambil Obat",IF(G703="",0,G703),0))</f>
        <v/>
      </c>
      <c r="J703" s="12">
        <f>$J$691</f>
        <v/>
      </c>
      <c r="K703" s="18" t="inlineStr">
        <is>
          <t>▼</t>
        </is>
      </c>
    </row>
    <row r="704" ht="21.75" customHeight="1" s="314">
      <c r="A704" s="6">
        <f>IF(C704="","",1018)</f>
        <v/>
      </c>
      <c r="B704" s="7" t="n">
        <v>46180</v>
      </c>
      <c r="C704" s="8" t="n"/>
      <c r="D704" s="9" t="n"/>
      <c r="E704" s="10" t="inlineStr">
        <is>
          <t>▼</t>
        </is>
      </c>
      <c r="F704" s="10" t="inlineStr">
        <is>
          <t>▼</t>
        </is>
      </c>
      <c r="G704" s="9" t="n"/>
      <c r="H704" s="10" t="inlineStr">
        <is>
          <t>▼</t>
        </is>
      </c>
      <c r="I704" s="11">
        <f>IF(C704="","",D704+IF(F704="Ambil Obat",IF(G704="",0,G704),0))</f>
        <v/>
      </c>
      <c r="J704" s="12">
        <f>$J$691</f>
        <v/>
      </c>
      <c r="K704" s="13" t="inlineStr">
        <is>
          <t>▼</t>
        </is>
      </c>
    </row>
    <row r="705" ht="21.75" customHeight="1" s="314">
      <c r="A705" s="32">
        <f>IF(C705="","",1019)</f>
        <v/>
      </c>
      <c r="B705" s="7" t="n">
        <v>46180</v>
      </c>
      <c r="C705" s="14" t="n"/>
      <c r="D705" s="16" t="n"/>
      <c r="E705" s="15" t="inlineStr">
        <is>
          <t>▼</t>
        </is>
      </c>
      <c r="F705" s="15" t="inlineStr">
        <is>
          <t>▼</t>
        </is>
      </c>
      <c r="G705" s="16" t="n"/>
      <c r="H705" s="15" t="inlineStr">
        <is>
          <t>▼</t>
        </is>
      </c>
      <c r="I705" s="17">
        <f>IF(C705="","",D705+IF(F705="Ambil Obat",IF(G705="",0,G705),0))</f>
        <v/>
      </c>
      <c r="J705" s="12">
        <f>$J$691</f>
        <v/>
      </c>
      <c r="K705" s="18" t="inlineStr">
        <is>
          <t>▼</t>
        </is>
      </c>
    </row>
    <row r="706" ht="21.75" customHeight="1" s="314">
      <c r="A706" s="6">
        <f>IF(C706="","",1020)</f>
        <v/>
      </c>
      <c r="B706" s="7" t="n">
        <v>46180</v>
      </c>
      <c r="C706" s="8" t="n"/>
      <c r="D706" s="9" t="n"/>
      <c r="E706" s="10" t="inlineStr">
        <is>
          <t>▼</t>
        </is>
      </c>
      <c r="F706" s="10" t="inlineStr">
        <is>
          <t>▼</t>
        </is>
      </c>
      <c r="G706" s="9" t="n"/>
      <c r="H706" s="10" t="inlineStr">
        <is>
          <t>▼</t>
        </is>
      </c>
      <c r="I706" s="11">
        <f>IF(C706="","",D706+IF(F706="Ambil Obat",IF(G706="",0,G706),0))</f>
        <v/>
      </c>
      <c r="J706" s="12">
        <f>$J$691</f>
        <v/>
      </c>
      <c r="K706" s="13" t="inlineStr">
        <is>
          <t>▼</t>
        </is>
      </c>
    </row>
    <row r="707" ht="24" customHeight="1" s="314">
      <c r="A707" s="248">
        <f>IF(COUNTA(C692:C706)=0,"— belum ada data —","📊 Sub-total  "&amp; TEXT(B692,"DD MMM YYYY") &amp;"  ("&amp;COUNTA(C692:C706)&amp;" pasien)")</f>
        <v/>
      </c>
      <c r="B707" s="316" t="n"/>
      <c r="C707" s="316" t="n"/>
      <c r="D707" s="19">
        <f>IF(COUNTA(C692:C706)=0,"",SUM(D692:D706))</f>
        <v/>
      </c>
      <c r="E707" s="20">
        <f>IF(COUNTA(C692:C706)=0,"",SUMIF(E692:E706,"Cash",D692:D706))</f>
        <v/>
      </c>
      <c r="F707" s="21">
        <f>IF(COUNTA(C692:C706)=0,"",SUMIF(E692:E706,"Transfer Bank",D692:D706))</f>
        <v/>
      </c>
      <c r="G707" s="19">
        <f>IF(COUNTA(C692:C706)=0,"",SUMIF(F692:F706,"Ambil Obat",G692:G706))</f>
        <v/>
      </c>
      <c r="H707" s="20">
        <f>IF(COUNTA(C692:C706)=0,"",SUMIFS(G692:G706,H692:H706,"Cash",F692:F706,"Ambil Obat"))</f>
        <v/>
      </c>
      <c r="I707" s="21">
        <f>IF(COUNTA(C692:C706)=0,"",SUMIFS(G692:G706,H692:H706,"Transfer Bank",F692:F706,"Ambil Obat"))</f>
        <v/>
      </c>
      <c r="J707" s="22" t="n"/>
      <c r="K707" s="23">
        <f>IF(COUNTA(C692:C706)=0,"",D707+G707)</f>
        <v/>
      </c>
    </row>
    <row r="708" ht="24" customHeight="1" s="314">
      <c r="A708" s="249" t="inlineStr">
        <is>
          <t>📅  Senin, 08 Juni 2026</t>
        </is>
      </c>
      <c r="B708" s="5" t="n"/>
      <c r="C708" s="5" t="n"/>
      <c r="D708" s="5" t="n"/>
      <c r="E708" s="5" t="n"/>
      <c r="F708" s="5" t="n"/>
      <c r="G708" s="5" t="n"/>
      <c r="H708" s="5" t="n"/>
      <c r="I708" s="5" t="n"/>
      <c r="J708" s="4" t="inlineStr">
        <is>
          <t>dr. JOJO</t>
        </is>
      </c>
      <c r="K708" s="5" t="n"/>
    </row>
    <row r="709" ht="21.75" customHeight="1" s="314">
      <c r="A709" s="6">
        <f>IF(C709="","",1021)</f>
        <v/>
      </c>
      <c r="B709" s="7" t="n">
        <v>46181</v>
      </c>
      <c r="C709" s="8" t="n"/>
      <c r="D709" s="9" t="n"/>
      <c r="E709" s="10" t="inlineStr">
        <is>
          <t>▼</t>
        </is>
      </c>
      <c r="F709" s="10" t="inlineStr">
        <is>
          <t>▼</t>
        </is>
      </c>
      <c r="G709" s="9" t="n"/>
      <c r="H709" s="10" t="inlineStr">
        <is>
          <t>▼</t>
        </is>
      </c>
      <c r="I709" s="11">
        <f>IF(C709="","",D709+IF(F709="Ambil Obat",IF(G709="",0,G709),0))</f>
        <v/>
      </c>
      <c r="J709" s="12">
        <f>$J$708</f>
        <v/>
      </c>
      <c r="K709" s="13" t="inlineStr">
        <is>
          <t>▼</t>
        </is>
      </c>
    </row>
    <row r="710" ht="21.75" customHeight="1" s="314">
      <c r="A710" s="32">
        <f>IF(C710="","",1022)</f>
        <v/>
      </c>
      <c r="B710" s="7" t="n">
        <v>46181</v>
      </c>
      <c r="C710" s="14" t="n"/>
      <c r="D710" s="16" t="n"/>
      <c r="E710" s="15" t="inlineStr">
        <is>
          <t>▼</t>
        </is>
      </c>
      <c r="F710" s="15" t="inlineStr">
        <is>
          <t>▼</t>
        </is>
      </c>
      <c r="G710" s="16" t="n"/>
      <c r="H710" s="15" t="inlineStr">
        <is>
          <t>▼</t>
        </is>
      </c>
      <c r="I710" s="17">
        <f>IF(C710="","",D710+IF(F710="Ambil Obat",IF(G710="",0,G710),0))</f>
        <v/>
      </c>
      <c r="J710" s="12">
        <f>$J$708</f>
        <v/>
      </c>
      <c r="K710" s="18" t="inlineStr">
        <is>
          <t>▼</t>
        </is>
      </c>
    </row>
    <row r="711" ht="21.75" customHeight="1" s="314">
      <c r="A711" s="6">
        <f>IF(C711="","",1023)</f>
        <v/>
      </c>
      <c r="B711" s="7" t="n">
        <v>46181</v>
      </c>
      <c r="C711" s="8" t="n"/>
      <c r="D711" s="9" t="n"/>
      <c r="E711" s="10" t="inlineStr">
        <is>
          <t>▼</t>
        </is>
      </c>
      <c r="F711" s="10" t="inlineStr">
        <is>
          <t>▼</t>
        </is>
      </c>
      <c r="G711" s="9" t="n"/>
      <c r="H711" s="10" t="inlineStr">
        <is>
          <t>▼</t>
        </is>
      </c>
      <c r="I711" s="11">
        <f>IF(C711="","",D711+IF(F711="Ambil Obat",IF(G711="",0,G711),0))</f>
        <v/>
      </c>
      <c r="J711" s="12">
        <f>$J$708</f>
        <v/>
      </c>
      <c r="K711" s="13" t="inlineStr">
        <is>
          <t>▼</t>
        </is>
      </c>
    </row>
    <row r="712" ht="21.75" customHeight="1" s="314">
      <c r="A712" s="32">
        <f>IF(C712="","",1024)</f>
        <v/>
      </c>
      <c r="B712" s="7" t="n">
        <v>46181</v>
      </c>
      <c r="C712" s="14" t="n"/>
      <c r="D712" s="16" t="n"/>
      <c r="E712" s="15" t="inlineStr">
        <is>
          <t>▼</t>
        </is>
      </c>
      <c r="F712" s="15" t="inlineStr">
        <is>
          <t>▼</t>
        </is>
      </c>
      <c r="G712" s="16" t="n"/>
      <c r="H712" s="15" t="inlineStr">
        <is>
          <t>▼</t>
        </is>
      </c>
      <c r="I712" s="17">
        <f>IF(C712="","",D712+IF(F712="Ambil Obat",IF(G712="",0,G712),0))</f>
        <v/>
      </c>
      <c r="J712" s="12">
        <f>$J$708</f>
        <v/>
      </c>
      <c r="K712" s="18" t="inlineStr">
        <is>
          <t>▼</t>
        </is>
      </c>
    </row>
    <row r="713" ht="21.75" customHeight="1" s="314">
      <c r="A713" s="6">
        <f>IF(C713="","",1025)</f>
        <v/>
      </c>
      <c r="B713" s="7" t="n">
        <v>46181</v>
      </c>
      <c r="C713" s="8" t="n"/>
      <c r="D713" s="9" t="n"/>
      <c r="E713" s="10" t="inlineStr">
        <is>
          <t>▼</t>
        </is>
      </c>
      <c r="F713" s="10" t="inlineStr">
        <is>
          <t>▼</t>
        </is>
      </c>
      <c r="G713" s="9" t="n"/>
      <c r="H713" s="10" t="inlineStr">
        <is>
          <t>▼</t>
        </is>
      </c>
      <c r="I713" s="11">
        <f>IF(C713="","",D713+IF(F713="Ambil Obat",IF(G713="",0,G713),0))</f>
        <v/>
      </c>
      <c r="J713" s="12">
        <f>$J$708</f>
        <v/>
      </c>
      <c r="K713" s="13" t="inlineStr">
        <is>
          <t>▼</t>
        </is>
      </c>
    </row>
    <row r="714" ht="21.75" customHeight="1" s="314">
      <c r="A714" s="32">
        <f>IF(C714="","",1026)</f>
        <v/>
      </c>
      <c r="B714" s="7" t="n">
        <v>46181</v>
      </c>
      <c r="C714" s="14" t="n"/>
      <c r="D714" s="16" t="n"/>
      <c r="E714" s="15" t="inlineStr">
        <is>
          <t>▼</t>
        </is>
      </c>
      <c r="F714" s="15" t="inlineStr">
        <is>
          <t>▼</t>
        </is>
      </c>
      <c r="G714" s="16" t="n"/>
      <c r="H714" s="15" t="inlineStr">
        <is>
          <t>▼</t>
        </is>
      </c>
      <c r="I714" s="17">
        <f>IF(C714="","",D714+IF(F714="Ambil Obat",IF(G714="",0,G714),0))</f>
        <v/>
      </c>
      <c r="J714" s="12">
        <f>$J$708</f>
        <v/>
      </c>
      <c r="K714" s="18" t="inlineStr">
        <is>
          <t>▼</t>
        </is>
      </c>
    </row>
    <row r="715" ht="21.75" customHeight="1" s="314">
      <c r="A715" s="6">
        <f>IF(C715="","",1027)</f>
        <v/>
      </c>
      <c r="B715" s="7" t="n">
        <v>46181</v>
      </c>
      <c r="C715" s="8" t="n"/>
      <c r="D715" s="9" t="n"/>
      <c r="E715" s="10" t="inlineStr">
        <is>
          <t>▼</t>
        </is>
      </c>
      <c r="F715" s="10" t="inlineStr">
        <is>
          <t>▼</t>
        </is>
      </c>
      <c r="G715" s="9" t="n"/>
      <c r="H715" s="10" t="inlineStr">
        <is>
          <t>▼</t>
        </is>
      </c>
      <c r="I715" s="11">
        <f>IF(C715="","",D715+IF(F715="Ambil Obat",IF(G715="",0,G715),0))</f>
        <v/>
      </c>
      <c r="J715" s="12">
        <f>$J$708</f>
        <v/>
      </c>
      <c r="K715" s="13" t="inlineStr">
        <is>
          <t>▼</t>
        </is>
      </c>
    </row>
    <row r="716" ht="21.75" customHeight="1" s="314">
      <c r="A716" s="32">
        <f>IF(C716="","",1028)</f>
        <v/>
      </c>
      <c r="B716" s="7" t="n">
        <v>46181</v>
      </c>
      <c r="C716" s="14" t="n"/>
      <c r="D716" s="16" t="n"/>
      <c r="E716" s="15" t="inlineStr">
        <is>
          <t>▼</t>
        </is>
      </c>
      <c r="F716" s="15" t="inlineStr">
        <is>
          <t>▼</t>
        </is>
      </c>
      <c r="G716" s="16" t="n"/>
      <c r="H716" s="15" t="inlineStr">
        <is>
          <t>▼</t>
        </is>
      </c>
      <c r="I716" s="17">
        <f>IF(C716="","",D716+IF(F716="Ambil Obat",IF(G716="",0,G716),0))</f>
        <v/>
      </c>
      <c r="J716" s="12">
        <f>$J$708</f>
        <v/>
      </c>
      <c r="K716" s="18" t="inlineStr">
        <is>
          <t>▼</t>
        </is>
      </c>
    </row>
    <row r="717" ht="21.75" customHeight="1" s="314">
      <c r="A717" s="6">
        <f>IF(C717="","",1029)</f>
        <v/>
      </c>
      <c r="B717" s="7" t="n">
        <v>46181</v>
      </c>
      <c r="C717" s="8" t="n"/>
      <c r="D717" s="9" t="n"/>
      <c r="E717" s="10" t="inlineStr">
        <is>
          <t>▼</t>
        </is>
      </c>
      <c r="F717" s="10" t="inlineStr">
        <is>
          <t>▼</t>
        </is>
      </c>
      <c r="G717" s="9" t="n"/>
      <c r="H717" s="10" t="inlineStr">
        <is>
          <t>▼</t>
        </is>
      </c>
      <c r="I717" s="11">
        <f>IF(C717="","",D717+IF(F717="Ambil Obat",IF(G717="",0,G717),0))</f>
        <v/>
      </c>
      <c r="J717" s="12">
        <f>$J$708</f>
        <v/>
      </c>
      <c r="K717" s="13" t="inlineStr">
        <is>
          <t>▼</t>
        </is>
      </c>
    </row>
    <row r="718" ht="21.75" customHeight="1" s="314">
      <c r="A718" s="32">
        <f>IF(C718="","",1030)</f>
        <v/>
      </c>
      <c r="B718" s="7" t="n">
        <v>46181</v>
      </c>
      <c r="C718" s="14" t="n"/>
      <c r="D718" s="16" t="n"/>
      <c r="E718" s="15" t="inlineStr">
        <is>
          <t>▼</t>
        </is>
      </c>
      <c r="F718" s="15" t="inlineStr">
        <is>
          <t>▼</t>
        </is>
      </c>
      <c r="G718" s="16" t="n"/>
      <c r="H718" s="15" t="inlineStr">
        <is>
          <t>▼</t>
        </is>
      </c>
      <c r="I718" s="17">
        <f>IF(C718="","",D718+IF(F718="Ambil Obat",IF(G718="",0,G718),0))</f>
        <v/>
      </c>
      <c r="J718" s="12">
        <f>$J$708</f>
        <v/>
      </c>
      <c r="K718" s="18" t="inlineStr">
        <is>
          <t>▼</t>
        </is>
      </c>
    </row>
    <row r="719" ht="21.75" customHeight="1" s="314">
      <c r="A719" s="6">
        <f>IF(C719="","",1031)</f>
        <v/>
      </c>
      <c r="B719" s="7" t="n">
        <v>46181</v>
      </c>
      <c r="C719" s="8" t="n"/>
      <c r="D719" s="9" t="n"/>
      <c r="E719" s="10" t="inlineStr">
        <is>
          <t>▼</t>
        </is>
      </c>
      <c r="F719" s="10" t="inlineStr">
        <is>
          <t>▼</t>
        </is>
      </c>
      <c r="G719" s="9" t="n"/>
      <c r="H719" s="10" t="inlineStr">
        <is>
          <t>▼</t>
        </is>
      </c>
      <c r="I719" s="11">
        <f>IF(C719="","",D719+IF(F719="Ambil Obat",IF(G719="",0,G719),0))</f>
        <v/>
      </c>
      <c r="J719" s="12">
        <f>$J$708</f>
        <v/>
      </c>
      <c r="K719" s="13" t="inlineStr">
        <is>
          <t>▼</t>
        </is>
      </c>
    </row>
    <row r="720" ht="21.75" customHeight="1" s="314">
      <c r="A720" s="32">
        <f>IF(C720="","",1032)</f>
        <v/>
      </c>
      <c r="B720" s="7" t="n">
        <v>46181</v>
      </c>
      <c r="C720" s="14" t="n"/>
      <c r="D720" s="16" t="n"/>
      <c r="E720" s="15" t="inlineStr">
        <is>
          <t>▼</t>
        </is>
      </c>
      <c r="F720" s="15" t="inlineStr">
        <is>
          <t>▼</t>
        </is>
      </c>
      <c r="G720" s="16" t="n"/>
      <c r="H720" s="15" t="inlineStr">
        <is>
          <t>▼</t>
        </is>
      </c>
      <c r="I720" s="17">
        <f>IF(C720="","",D720+IF(F720="Ambil Obat",IF(G720="",0,G720),0))</f>
        <v/>
      </c>
      <c r="J720" s="12">
        <f>$J$708</f>
        <v/>
      </c>
      <c r="K720" s="18" t="inlineStr">
        <is>
          <t>▼</t>
        </is>
      </c>
    </row>
    <row r="721" ht="21.75" customHeight="1" s="314">
      <c r="A721" s="6">
        <f>IF(C721="","",1033)</f>
        <v/>
      </c>
      <c r="B721" s="7" t="n">
        <v>46181</v>
      </c>
      <c r="C721" s="8" t="n"/>
      <c r="D721" s="9" t="n"/>
      <c r="E721" s="10" t="inlineStr">
        <is>
          <t>▼</t>
        </is>
      </c>
      <c r="F721" s="10" t="inlineStr">
        <is>
          <t>▼</t>
        </is>
      </c>
      <c r="G721" s="9" t="n"/>
      <c r="H721" s="10" t="inlineStr">
        <is>
          <t>▼</t>
        </is>
      </c>
      <c r="I721" s="11">
        <f>IF(C721="","",D721+IF(F721="Ambil Obat",IF(G721="",0,G721),0))</f>
        <v/>
      </c>
      <c r="J721" s="12">
        <f>$J$708</f>
        <v/>
      </c>
      <c r="K721" s="13" t="inlineStr">
        <is>
          <t>▼</t>
        </is>
      </c>
    </row>
    <row r="722" ht="21.75" customHeight="1" s="314">
      <c r="A722" s="32">
        <f>IF(C722="","",1034)</f>
        <v/>
      </c>
      <c r="B722" s="7" t="n">
        <v>46181</v>
      </c>
      <c r="C722" s="14" t="n"/>
      <c r="D722" s="16" t="n"/>
      <c r="E722" s="15" t="inlineStr">
        <is>
          <t>▼</t>
        </is>
      </c>
      <c r="F722" s="15" t="inlineStr">
        <is>
          <t>▼</t>
        </is>
      </c>
      <c r="G722" s="16" t="n"/>
      <c r="H722" s="15" t="inlineStr">
        <is>
          <t>▼</t>
        </is>
      </c>
      <c r="I722" s="17">
        <f>IF(C722="","",D722+IF(F722="Ambil Obat",IF(G722="",0,G722),0))</f>
        <v/>
      </c>
      <c r="J722" s="12">
        <f>$J$708</f>
        <v/>
      </c>
      <c r="K722" s="18" t="inlineStr">
        <is>
          <t>▼</t>
        </is>
      </c>
    </row>
    <row r="723" ht="21.75" customHeight="1" s="314">
      <c r="A723" s="6">
        <f>IF(C723="","",1035)</f>
        <v/>
      </c>
      <c r="B723" s="7" t="n">
        <v>46181</v>
      </c>
      <c r="C723" s="8" t="n"/>
      <c r="D723" s="9" t="n"/>
      <c r="E723" s="10" t="inlineStr">
        <is>
          <t>▼</t>
        </is>
      </c>
      <c r="F723" s="10" t="inlineStr">
        <is>
          <t>▼</t>
        </is>
      </c>
      <c r="G723" s="9" t="n"/>
      <c r="H723" s="10" t="inlineStr">
        <is>
          <t>▼</t>
        </is>
      </c>
      <c r="I723" s="11">
        <f>IF(C723="","",D723+IF(F723="Ambil Obat",IF(G723="",0,G723),0))</f>
        <v/>
      </c>
      <c r="J723" s="12">
        <f>$J$708</f>
        <v/>
      </c>
      <c r="K723" s="13" t="inlineStr">
        <is>
          <t>▼</t>
        </is>
      </c>
    </row>
    <row r="724" ht="24" customHeight="1" s="314">
      <c r="A724" s="248">
        <f>IF(COUNTA(C709:C723)=0,"— belum ada data —","📊 Sub-total  "&amp; TEXT(B709,"DD MMM YYYY") &amp;"  ("&amp;COUNTA(C709:C723)&amp;" pasien)")</f>
        <v/>
      </c>
      <c r="B724" s="316" t="n"/>
      <c r="C724" s="316" t="n"/>
      <c r="D724" s="19">
        <f>IF(COUNTA(C709:C723)=0,"",SUM(D709:D723))</f>
        <v/>
      </c>
      <c r="E724" s="20">
        <f>IF(COUNTA(C709:C723)=0,"",SUMIF(E709:E723,"Cash",D709:D723))</f>
        <v/>
      </c>
      <c r="F724" s="21">
        <f>IF(COUNTA(C709:C723)=0,"",SUMIF(E709:E723,"Transfer Bank",D709:D723))</f>
        <v/>
      </c>
      <c r="G724" s="19">
        <f>IF(COUNTA(C709:C723)=0,"",SUMIF(F709:F723,"Ambil Obat",G709:G723))</f>
        <v/>
      </c>
      <c r="H724" s="20">
        <f>IF(COUNTA(C709:C723)=0,"",SUMIFS(G709:G723,H709:H723,"Cash",F709:F723,"Ambil Obat"))</f>
        <v/>
      </c>
      <c r="I724" s="21">
        <f>IF(COUNTA(C709:C723)=0,"",SUMIFS(G709:G723,H709:H723,"Transfer Bank",F709:F723,"Ambil Obat"))</f>
        <v/>
      </c>
      <c r="J724" s="22" t="n"/>
      <c r="K724" s="23">
        <f>IF(COUNTA(C709:C723)=0,"",D724+G724)</f>
        <v/>
      </c>
    </row>
    <row r="725" ht="24" customHeight="1" s="314">
      <c r="A725" s="249" t="inlineStr">
        <is>
          <t>📅  Selasa, 09 Juni 2026</t>
        </is>
      </c>
      <c r="B725" s="5" t="n"/>
      <c r="C725" s="5" t="n"/>
      <c r="D725" s="5" t="n"/>
      <c r="E725" s="5" t="n"/>
      <c r="F725" s="5" t="n"/>
      <c r="G725" s="5" t="n"/>
      <c r="H725" s="5" t="n"/>
      <c r="I725" s="5" t="n"/>
      <c r="J725" s="4" t="inlineStr">
        <is>
          <t>dr. HAWA</t>
        </is>
      </c>
      <c r="K725" s="5" t="n"/>
    </row>
    <row r="726" ht="21.75" customHeight="1" s="314">
      <c r="A726" s="6">
        <f>IF(C726="","",1036)</f>
        <v/>
      </c>
      <c r="B726" s="7" t="n">
        <v>46182</v>
      </c>
      <c r="C726" s="8" t="n"/>
      <c r="D726" s="9" t="n"/>
      <c r="E726" s="10" t="inlineStr">
        <is>
          <t>▼</t>
        </is>
      </c>
      <c r="F726" s="10" t="inlineStr">
        <is>
          <t>▼</t>
        </is>
      </c>
      <c r="G726" s="9" t="n"/>
      <c r="H726" s="10" t="inlineStr">
        <is>
          <t>▼</t>
        </is>
      </c>
      <c r="I726" s="11">
        <f>IF(C726="","",D726+IF(F726="Ambil Obat",IF(G726="",0,G726),0))</f>
        <v/>
      </c>
      <c r="J726" s="12">
        <f>$J$725</f>
        <v/>
      </c>
      <c r="K726" s="13" t="inlineStr">
        <is>
          <t>▼</t>
        </is>
      </c>
    </row>
    <row r="727" ht="21.75" customHeight="1" s="314">
      <c r="A727" s="32">
        <f>IF(C727="","",1037)</f>
        <v/>
      </c>
      <c r="B727" s="7" t="n">
        <v>46182</v>
      </c>
      <c r="C727" s="14" t="n"/>
      <c r="D727" s="16" t="n"/>
      <c r="E727" s="15" t="inlineStr">
        <is>
          <t>▼</t>
        </is>
      </c>
      <c r="F727" s="15" t="inlineStr">
        <is>
          <t>▼</t>
        </is>
      </c>
      <c r="G727" s="16" t="n"/>
      <c r="H727" s="15" t="inlineStr">
        <is>
          <t>▼</t>
        </is>
      </c>
      <c r="I727" s="17">
        <f>IF(C727="","",D727+IF(F727="Ambil Obat",IF(G727="",0,G727),0))</f>
        <v/>
      </c>
      <c r="J727" s="12">
        <f>$J$725</f>
        <v/>
      </c>
      <c r="K727" s="18" t="inlineStr">
        <is>
          <t>▼</t>
        </is>
      </c>
    </row>
    <row r="728" ht="21.75" customHeight="1" s="314">
      <c r="A728" s="6">
        <f>IF(C728="","",1038)</f>
        <v/>
      </c>
      <c r="B728" s="7" t="n">
        <v>46182</v>
      </c>
      <c r="C728" s="8" t="n"/>
      <c r="D728" s="9" t="n"/>
      <c r="E728" s="10" t="inlineStr">
        <is>
          <t>▼</t>
        </is>
      </c>
      <c r="F728" s="10" t="inlineStr">
        <is>
          <t>▼</t>
        </is>
      </c>
      <c r="G728" s="9" t="n"/>
      <c r="H728" s="10" t="inlineStr">
        <is>
          <t>▼</t>
        </is>
      </c>
      <c r="I728" s="11">
        <f>IF(C728="","",D728+IF(F728="Ambil Obat",IF(G728="",0,G728),0))</f>
        <v/>
      </c>
      <c r="J728" s="12">
        <f>$J$725</f>
        <v/>
      </c>
      <c r="K728" s="13" t="inlineStr">
        <is>
          <t>▼</t>
        </is>
      </c>
    </row>
    <row r="729" ht="21.75" customHeight="1" s="314">
      <c r="A729" s="32">
        <f>IF(C729="","",1039)</f>
        <v/>
      </c>
      <c r="B729" s="7" t="n">
        <v>46182</v>
      </c>
      <c r="C729" s="14" t="n"/>
      <c r="D729" s="16" t="n"/>
      <c r="E729" s="15" t="inlineStr">
        <is>
          <t>▼</t>
        </is>
      </c>
      <c r="F729" s="15" t="inlineStr">
        <is>
          <t>▼</t>
        </is>
      </c>
      <c r="G729" s="16" t="n"/>
      <c r="H729" s="15" t="inlineStr">
        <is>
          <t>▼</t>
        </is>
      </c>
      <c r="I729" s="17">
        <f>IF(C729="","",D729+IF(F729="Ambil Obat",IF(G729="",0,G729),0))</f>
        <v/>
      </c>
      <c r="J729" s="12">
        <f>$J$725</f>
        <v/>
      </c>
      <c r="K729" s="18" t="inlineStr">
        <is>
          <t>▼</t>
        </is>
      </c>
    </row>
    <row r="730" ht="21.75" customHeight="1" s="314">
      <c r="A730" s="6">
        <f>IF(C730="","",1040)</f>
        <v/>
      </c>
      <c r="B730" s="7" t="n">
        <v>46182</v>
      </c>
      <c r="C730" s="8" t="n"/>
      <c r="D730" s="9" t="n"/>
      <c r="E730" s="10" t="inlineStr">
        <is>
          <t>▼</t>
        </is>
      </c>
      <c r="F730" s="10" t="inlineStr">
        <is>
          <t>▼</t>
        </is>
      </c>
      <c r="G730" s="9" t="n"/>
      <c r="H730" s="10" t="inlineStr">
        <is>
          <t>▼</t>
        </is>
      </c>
      <c r="I730" s="11">
        <f>IF(C730="","",D730+IF(F730="Ambil Obat",IF(G730="",0,G730),0))</f>
        <v/>
      </c>
      <c r="J730" s="12">
        <f>$J$725</f>
        <v/>
      </c>
      <c r="K730" s="13" t="inlineStr">
        <is>
          <t>▼</t>
        </is>
      </c>
    </row>
    <row r="731" ht="21.75" customHeight="1" s="314">
      <c r="A731" s="32">
        <f>IF(C731="","",1041)</f>
        <v/>
      </c>
      <c r="B731" s="7" t="n">
        <v>46182</v>
      </c>
      <c r="C731" s="14" t="n"/>
      <c r="D731" s="16" t="n"/>
      <c r="E731" s="15" t="inlineStr">
        <is>
          <t>▼</t>
        </is>
      </c>
      <c r="F731" s="15" t="inlineStr">
        <is>
          <t>▼</t>
        </is>
      </c>
      <c r="G731" s="16" t="n"/>
      <c r="H731" s="15" t="inlineStr">
        <is>
          <t>▼</t>
        </is>
      </c>
      <c r="I731" s="17">
        <f>IF(C731="","",D731+IF(F731="Ambil Obat",IF(G731="",0,G731),0))</f>
        <v/>
      </c>
      <c r="J731" s="12">
        <f>$J$725</f>
        <v/>
      </c>
      <c r="K731" s="18" t="inlineStr">
        <is>
          <t>▼</t>
        </is>
      </c>
    </row>
    <row r="732" ht="21.75" customHeight="1" s="314">
      <c r="A732" s="6">
        <f>IF(C732="","",1042)</f>
        <v/>
      </c>
      <c r="B732" s="7" t="n">
        <v>46182</v>
      </c>
      <c r="C732" s="8" t="n"/>
      <c r="D732" s="9" t="n"/>
      <c r="E732" s="10" t="inlineStr">
        <is>
          <t>▼</t>
        </is>
      </c>
      <c r="F732" s="10" t="inlineStr">
        <is>
          <t>▼</t>
        </is>
      </c>
      <c r="G732" s="9" t="n"/>
      <c r="H732" s="10" t="inlineStr">
        <is>
          <t>▼</t>
        </is>
      </c>
      <c r="I732" s="11">
        <f>IF(C732="","",D732+IF(F732="Ambil Obat",IF(G732="",0,G732),0))</f>
        <v/>
      </c>
      <c r="J732" s="12">
        <f>$J$725</f>
        <v/>
      </c>
      <c r="K732" s="13" t="inlineStr">
        <is>
          <t>▼</t>
        </is>
      </c>
    </row>
    <row r="733" ht="21.75" customHeight="1" s="314">
      <c r="A733" s="32">
        <f>IF(C733="","",1043)</f>
        <v/>
      </c>
      <c r="B733" s="7" t="n">
        <v>46182</v>
      </c>
      <c r="C733" s="14" t="n"/>
      <c r="D733" s="16" t="n"/>
      <c r="E733" s="15" t="inlineStr">
        <is>
          <t>▼</t>
        </is>
      </c>
      <c r="F733" s="15" t="inlineStr">
        <is>
          <t>▼</t>
        </is>
      </c>
      <c r="G733" s="16" t="n"/>
      <c r="H733" s="15" t="inlineStr">
        <is>
          <t>▼</t>
        </is>
      </c>
      <c r="I733" s="17">
        <f>IF(C733="","",D733+IF(F733="Ambil Obat",IF(G733="",0,G733),0))</f>
        <v/>
      </c>
      <c r="J733" s="12">
        <f>$J$725</f>
        <v/>
      </c>
      <c r="K733" s="18" t="inlineStr">
        <is>
          <t>▼</t>
        </is>
      </c>
    </row>
    <row r="734" ht="21.75" customHeight="1" s="314">
      <c r="A734" s="6">
        <f>IF(C734="","",1044)</f>
        <v/>
      </c>
      <c r="B734" s="7" t="n">
        <v>46182</v>
      </c>
      <c r="C734" s="8" t="n"/>
      <c r="D734" s="9" t="n"/>
      <c r="E734" s="10" t="inlineStr">
        <is>
          <t>▼</t>
        </is>
      </c>
      <c r="F734" s="10" t="inlineStr">
        <is>
          <t>▼</t>
        </is>
      </c>
      <c r="G734" s="9" t="n"/>
      <c r="H734" s="10" t="inlineStr">
        <is>
          <t>▼</t>
        </is>
      </c>
      <c r="I734" s="11">
        <f>IF(C734="","",D734+IF(F734="Ambil Obat",IF(G734="",0,G734),0))</f>
        <v/>
      </c>
      <c r="J734" s="12">
        <f>$J$725</f>
        <v/>
      </c>
      <c r="K734" s="13" t="inlineStr">
        <is>
          <t>▼</t>
        </is>
      </c>
    </row>
    <row r="735" ht="21.75" customHeight="1" s="314">
      <c r="A735" s="32">
        <f>IF(C735="","",1045)</f>
        <v/>
      </c>
      <c r="B735" s="7" t="n">
        <v>46182</v>
      </c>
      <c r="C735" s="14" t="n"/>
      <c r="D735" s="16" t="n"/>
      <c r="E735" s="15" t="inlineStr">
        <is>
          <t>▼</t>
        </is>
      </c>
      <c r="F735" s="15" t="inlineStr">
        <is>
          <t>▼</t>
        </is>
      </c>
      <c r="G735" s="16" t="n"/>
      <c r="H735" s="15" t="inlineStr">
        <is>
          <t>▼</t>
        </is>
      </c>
      <c r="I735" s="17">
        <f>IF(C735="","",D735+IF(F735="Ambil Obat",IF(G735="",0,G735),0))</f>
        <v/>
      </c>
      <c r="J735" s="12">
        <f>$J$725</f>
        <v/>
      </c>
      <c r="K735" s="18" t="inlineStr">
        <is>
          <t>▼</t>
        </is>
      </c>
    </row>
    <row r="736" ht="21.75" customHeight="1" s="314">
      <c r="A736" s="6">
        <f>IF(C736="","",1046)</f>
        <v/>
      </c>
      <c r="B736" s="7" t="n">
        <v>46182</v>
      </c>
      <c r="C736" s="8" t="n"/>
      <c r="D736" s="9" t="n"/>
      <c r="E736" s="10" t="inlineStr">
        <is>
          <t>▼</t>
        </is>
      </c>
      <c r="F736" s="10" t="inlineStr">
        <is>
          <t>▼</t>
        </is>
      </c>
      <c r="G736" s="9" t="n"/>
      <c r="H736" s="10" t="inlineStr">
        <is>
          <t>▼</t>
        </is>
      </c>
      <c r="I736" s="11">
        <f>IF(C736="","",D736+IF(F736="Ambil Obat",IF(G736="",0,G736),0))</f>
        <v/>
      </c>
      <c r="J736" s="12">
        <f>$J$725</f>
        <v/>
      </c>
      <c r="K736" s="13" t="inlineStr">
        <is>
          <t>▼</t>
        </is>
      </c>
    </row>
    <row r="737" ht="21.75" customHeight="1" s="314">
      <c r="A737" s="32">
        <f>IF(C737="","",1047)</f>
        <v/>
      </c>
      <c r="B737" s="7" t="n">
        <v>46182</v>
      </c>
      <c r="C737" s="14" t="n"/>
      <c r="D737" s="16" t="n"/>
      <c r="E737" s="15" t="inlineStr">
        <is>
          <t>▼</t>
        </is>
      </c>
      <c r="F737" s="15" t="inlineStr">
        <is>
          <t>▼</t>
        </is>
      </c>
      <c r="G737" s="16" t="n"/>
      <c r="H737" s="15" t="inlineStr">
        <is>
          <t>▼</t>
        </is>
      </c>
      <c r="I737" s="17">
        <f>IF(C737="","",D737+IF(F737="Ambil Obat",IF(G737="",0,G737),0))</f>
        <v/>
      </c>
      <c r="J737" s="12">
        <f>$J$725</f>
        <v/>
      </c>
      <c r="K737" s="18" t="inlineStr">
        <is>
          <t>▼</t>
        </is>
      </c>
    </row>
    <row r="738" ht="21.75" customHeight="1" s="314">
      <c r="A738" s="6">
        <f>IF(C738="","",1048)</f>
        <v/>
      </c>
      <c r="B738" s="7" t="n">
        <v>46182</v>
      </c>
      <c r="C738" s="8" t="n"/>
      <c r="D738" s="9" t="n"/>
      <c r="E738" s="10" t="inlineStr">
        <is>
          <t>▼</t>
        </is>
      </c>
      <c r="F738" s="10" t="inlineStr">
        <is>
          <t>▼</t>
        </is>
      </c>
      <c r="G738" s="9" t="n"/>
      <c r="H738" s="10" t="inlineStr">
        <is>
          <t>▼</t>
        </is>
      </c>
      <c r="I738" s="11">
        <f>IF(C738="","",D738+IF(F738="Ambil Obat",IF(G738="",0,G738),0))</f>
        <v/>
      </c>
      <c r="J738" s="12">
        <f>$J$725</f>
        <v/>
      </c>
      <c r="K738" s="13" t="inlineStr">
        <is>
          <t>▼</t>
        </is>
      </c>
    </row>
    <row r="739" ht="21.75" customHeight="1" s="314">
      <c r="A739" s="32">
        <f>IF(C739="","",1049)</f>
        <v/>
      </c>
      <c r="B739" s="7" t="n">
        <v>46182</v>
      </c>
      <c r="C739" s="14" t="n"/>
      <c r="D739" s="16" t="n"/>
      <c r="E739" s="15" t="inlineStr">
        <is>
          <t>▼</t>
        </is>
      </c>
      <c r="F739" s="15" t="inlineStr">
        <is>
          <t>▼</t>
        </is>
      </c>
      <c r="G739" s="16" t="n"/>
      <c r="H739" s="15" t="inlineStr">
        <is>
          <t>▼</t>
        </is>
      </c>
      <c r="I739" s="17">
        <f>IF(C739="","",D739+IF(F739="Ambil Obat",IF(G739="",0,G739),0))</f>
        <v/>
      </c>
      <c r="J739" s="12">
        <f>$J$725</f>
        <v/>
      </c>
      <c r="K739" s="18" t="inlineStr">
        <is>
          <t>▼</t>
        </is>
      </c>
    </row>
    <row r="740" ht="21.75" customHeight="1" s="314">
      <c r="A740" s="6">
        <f>IF(C740="","",1050)</f>
        <v/>
      </c>
      <c r="B740" s="7" t="n">
        <v>46182</v>
      </c>
      <c r="C740" s="8" t="n"/>
      <c r="D740" s="9" t="n"/>
      <c r="E740" s="10" t="inlineStr">
        <is>
          <t>▼</t>
        </is>
      </c>
      <c r="F740" s="10" t="inlineStr">
        <is>
          <t>▼</t>
        </is>
      </c>
      <c r="G740" s="9" t="n"/>
      <c r="H740" s="10" t="inlineStr">
        <is>
          <t>▼</t>
        </is>
      </c>
      <c r="I740" s="11">
        <f>IF(C740="","",D740+IF(F740="Ambil Obat",IF(G740="",0,G740),0))</f>
        <v/>
      </c>
      <c r="J740" s="12">
        <f>$J$725</f>
        <v/>
      </c>
      <c r="K740" s="13" t="inlineStr">
        <is>
          <t>▼</t>
        </is>
      </c>
    </row>
    <row r="741" ht="24" customHeight="1" s="314">
      <c r="A741" s="248">
        <f>IF(COUNTA(C726:C740)=0,"— belum ada data —","📊 Sub-total  "&amp; TEXT(B726,"DD MMM YYYY") &amp;"  ("&amp;COUNTA(C726:C740)&amp;" pasien)")</f>
        <v/>
      </c>
      <c r="B741" s="316" t="n"/>
      <c r="C741" s="316" t="n"/>
      <c r="D741" s="19">
        <f>IF(COUNTA(C726:C740)=0,"",SUM(D726:D740))</f>
        <v/>
      </c>
      <c r="E741" s="20">
        <f>IF(COUNTA(C726:C740)=0,"",SUMIF(E726:E740,"Cash",D726:D740))</f>
        <v/>
      </c>
      <c r="F741" s="21">
        <f>IF(COUNTA(C726:C740)=0,"",SUMIF(E726:E740,"Transfer Bank",D726:D740))</f>
        <v/>
      </c>
      <c r="G741" s="19">
        <f>IF(COUNTA(C726:C740)=0,"",SUMIF(F726:F740,"Ambil Obat",G726:G740))</f>
        <v/>
      </c>
      <c r="H741" s="20">
        <f>IF(COUNTA(C726:C740)=0,"",SUMIFS(G726:G740,H726:H740,"Cash",F726:F740,"Ambil Obat"))</f>
        <v/>
      </c>
      <c r="I741" s="21">
        <f>IF(COUNTA(C726:C740)=0,"",SUMIFS(G726:G740,H726:H740,"Transfer Bank",F726:F740,"Ambil Obat"))</f>
        <v/>
      </c>
      <c r="J741" s="22" t="n"/>
      <c r="K741" s="23">
        <f>IF(COUNTA(C726:C740)=0,"",D741+G741)</f>
        <v/>
      </c>
    </row>
    <row r="742" ht="24" customHeight="1" s="314">
      <c r="A742" s="249" t="inlineStr">
        <is>
          <t>📅  Rabu, 10 Juni 2026</t>
        </is>
      </c>
      <c r="B742" s="5" t="n"/>
      <c r="C742" s="5" t="n"/>
      <c r="D742" s="5" t="n"/>
      <c r="E742" s="5" t="n"/>
      <c r="F742" s="5" t="n"/>
      <c r="G742" s="5" t="n"/>
      <c r="H742" s="5" t="n"/>
      <c r="I742" s="5" t="n"/>
      <c r="J742" s="4" t="inlineStr">
        <is>
          <t>dr. ARIF</t>
        </is>
      </c>
      <c r="K742" s="5" t="n"/>
    </row>
    <row r="743" ht="21.75" customHeight="1" s="314">
      <c r="A743" s="6">
        <f>IF(C743="","",1051)</f>
        <v/>
      </c>
      <c r="B743" s="7" t="n">
        <v>46183</v>
      </c>
      <c r="C743" s="8" t="n"/>
      <c r="D743" s="9" t="n"/>
      <c r="E743" s="10" t="inlineStr">
        <is>
          <t>▼</t>
        </is>
      </c>
      <c r="F743" s="10" t="inlineStr">
        <is>
          <t>▼</t>
        </is>
      </c>
      <c r="G743" s="9" t="n"/>
      <c r="H743" s="10" t="inlineStr">
        <is>
          <t>▼</t>
        </is>
      </c>
      <c r="I743" s="11">
        <f>IF(C743="","",D743+IF(F743="Ambil Obat",IF(G743="",0,G743),0))</f>
        <v/>
      </c>
      <c r="J743" s="12">
        <f>$J$742</f>
        <v/>
      </c>
      <c r="K743" s="13" t="inlineStr">
        <is>
          <t>▼</t>
        </is>
      </c>
    </row>
    <row r="744" ht="21.75" customHeight="1" s="314">
      <c r="A744" s="32">
        <f>IF(C744="","",1052)</f>
        <v/>
      </c>
      <c r="B744" s="7" t="n">
        <v>46183</v>
      </c>
      <c r="C744" s="14" t="n"/>
      <c r="D744" s="16" t="n"/>
      <c r="E744" s="15" t="inlineStr">
        <is>
          <t>▼</t>
        </is>
      </c>
      <c r="F744" s="15" t="inlineStr">
        <is>
          <t>▼</t>
        </is>
      </c>
      <c r="G744" s="16" t="n"/>
      <c r="H744" s="15" t="inlineStr">
        <is>
          <t>▼</t>
        </is>
      </c>
      <c r="I744" s="17">
        <f>IF(C744="","",D744+IF(F744="Ambil Obat",IF(G744="",0,G744),0))</f>
        <v/>
      </c>
      <c r="J744" s="12">
        <f>$J$742</f>
        <v/>
      </c>
      <c r="K744" s="18" t="inlineStr">
        <is>
          <t>▼</t>
        </is>
      </c>
    </row>
    <row r="745" ht="21.75" customHeight="1" s="314">
      <c r="A745" s="6">
        <f>IF(C745="","",1053)</f>
        <v/>
      </c>
      <c r="B745" s="7" t="n">
        <v>46183</v>
      </c>
      <c r="C745" s="8" t="n"/>
      <c r="D745" s="9" t="n"/>
      <c r="E745" s="10" t="inlineStr">
        <is>
          <t>▼</t>
        </is>
      </c>
      <c r="F745" s="10" t="inlineStr">
        <is>
          <t>▼</t>
        </is>
      </c>
      <c r="G745" s="9" t="n"/>
      <c r="H745" s="10" t="inlineStr">
        <is>
          <t>▼</t>
        </is>
      </c>
      <c r="I745" s="11">
        <f>IF(C745="","",D745+IF(F745="Ambil Obat",IF(G745="",0,G745),0))</f>
        <v/>
      </c>
      <c r="J745" s="12">
        <f>$J$742</f>
        <v/>
      </c>
      <c r="K745" s="13" t="inlineStr">
        <is>
          <t>▼</t>
        </is>
      </c>
    </row>
    <row r="746" ht="21.75" customHeight="1" s="314">
      <c r="A746" s="32">
        <f>IF(C746="","",1054)</f>
        <v/>
      </c>
      <c r="B746" s="7" t="n">
        <v>46183</v>
      </c>
      <c r="C746" s="14" t="n"/>
      <c r="D746" s="16" t="n"/>
      <c r="E746" s="15" t="inlineStr">
        <is>
          <t>▼</t>
        </is>
      </c>
      <c r="F746" s="15" t="inlineStr">
        <is>
          <t>▼</t>
        </is>
      </c>
      <c r="G746" s="16" t="n"/>
      <c r="H746" s="15" t="inlineStr">
        <is>
          <t>▼</t>
        </is>
      </c>
      <c r="I746" s="17">
        <f>IF(C746="","",D746+IF(F746="Ambil Obat",IF(G746="",0,G746),0))</f>
        <v/>
      </c>
      <c r="J746" s="12">
        <f>$J$742</f>
        <v/>
      </c>
      <c r="K746" s="18" t="inlineStr">
        <is>
          <t>▼</t>
        </is>
      </c>
    </row>
    <row r="747" ht="21.75" customHeight="1" s="314">
      <c r="A747" s="6">
        <f>IF(C747="","",1055)</f>
        <v/>
      </c>
      <c r="B747" s="7" t="n">
        <v>46183</v>
      </c>
      <c r="C747" s="8" t="n"/>
      <c r="D747" s="9" t="n"/>
      <c r="E747" s="10" t="inlineStr">
        <is>
          <t>▼</t>
        </is>
      </c>
      <c r="F747" s="10" t="inlineStr">
        <is>
          <t>▼</t>
        </is>
      </c>
      <c r="G747" s="9" t="n"/>
      <c r="H747" s="10" t="inlineStr">
        <is>
          <t>▼</t>
        </is>
      </c>
      <c r="I747" s="11">
        <f>IF(C747="","",D747+IF(F747="Ambil Obat",IF(G747="",0,G747),0))</f>
        <v/>
      </c>
      <c r="J747" s="12">
        <f>$J$742</f>
        <v/>
      </c>
      <c r="K747" s="13" t="inlineStr">
        <is>
          <t>▼</t>
        </is>
      </c>
    </row>
    <row r="748" ht="21.75" customHeight="1" s="314">
      <c r="A748" s="32">
        <f>IF(C748="","",1056)</f>
        <v/>
      </c>
      <c r="B748" s="7" t="n">
        <v>46183</v>
      </c>
      <c r="C748" s="14" t="n"/>
      <c r="D748" s="16" t="n"/>
      <c r="E748" s="15" t="inlineStr">
        <is>
          <t>▼</t>
        </is>
      </c>
      <c r="F748" s="15" t="inlineStr">
        <is>
          <t>▼</t>
        </is>
      </c>
      <c r="G748" s="16" t="n"/>
      <c r="H748" s="15" t="inlineStr">
        <is>
          <t>▼</t>
        </is>
      </c>
      <c r="I748" s="17">
        <f>IF(C748="","",D748+IF(F748="Ambil Obat",IF(G748="",0,G748),0))</f>
        <v/>
      </c>
      <c r="J748" s="12">
        <f>$J$742</f>
        <v/>
      </c>
      <c r="K748" s="18" t="inlineStr">
        <is>
          <t>▼</t>
        </is>
      </c>
    </row>
    <row r="749" ht="21.75" customHeight="1" s="314">
      <c r="A749" s="6">
        <f>IF(C749="","",1057)</f>
        <v/>
      </c>
      <c r="B749" s="7" t="n">
        <v>46183</v>
      </c>
      <c r="C749" s="8" t="n"/>
      <c r="D749" s="9" t="n"/>
      <c r="E749" s="10" t="inlineStr">
        <is>
          <t>▼</t>
        </is>
      </c>
      <c r="F749" s="10" t="inlineStr">
        <is>
          <t>▼</t>
        </is>
      </c>
      <c r="G749" s="9" t="n"/>
      <c r="H749" s="10" t="inlineStr">
        <is>
          <t>▼</t>
        </is>
      </c>
      <c r="I749" s="11">
        <f>IF(C749="","",D749+IF(F749="Ambil Obat",IF(G749="",0,G749),0))</f>
        <v/>
      </c>
      <c r="J749" s="12">
        <f>$J$742</f>
        <v/>
      </c>
      <c r="K749" s="13" t="inlineStr">
        <is>
          <t>▼</t>
        </is>
      </c>
    </row>
    <row r="750" ht="21.75" customHeight="1" s="314">
      <c r="A750" s="32">
        <f>IF(C750="","",1058)</f>
        <v/>
      </c>
      <c r="B750" s="7" t="n">
        <v>46183</v>
      </c>
      <c r="C750" s="14" t="n"/>
      <c r="D750" s="16" t="n"/>
      <c r="E750" s="15" t="inlineStr">
        <is>
          <t>▼</t>
        </is>
      </c>
      <c r="F750" s="15" t="inlineStr">
        <is>
          <t>▼</t>
        </is>
      </c>
      <c r="G750" s="16" t="n"/>
      <c r="H750" s="15" t="inlineStr">
        <is>
          <t>▼</t>
        </is>
      </c>
      <c r="I750" s="17">
        <f>IF(C750="","",D750+IF(F750="Ambil Obat",IF(G750="",0,G750),0))</f>
        <v/>
      </c>
      <c r="J750" s="12">
        <f>$J$742</f>
        <v/>
      </c>
      <c r="K750" s="18" t="inlineStr">
        <is>
          <t>▼</t>
        </is>
      </c>
    </row>
    <row r="751" ht="21.75" customHeight="1" s="314">
      <c r="A751" s="6">
        <f>IF(C751="","",1059)</f>
        <v/>
      </c>
      <c r="B751" s="7" t="n">
        <v>46183</v>
      </c>
      <c r="C751" s="8" t="n"/>
      <c r="D751" s="9" t="n"/>
      <c r="E751" s="10" t="inlineStr">
        <is>
          <t>▼</t>
        </is>
      </c>
      <c r="F751" s="10" t="inlineStr">
        <is>
          <t>▼</t>
        </is>
      </c>
      <c r="G751" s="9" t="n"/>
      <c r="H751" s="10" t="inlineStr">
        <is>
          <t>▼</t>
        </is>
      </c>
      <c r="I751" s="11">
        <f>IF(C751="","",D751+IF(F751="Ambil Obat",IF(G751="",0,G751),0))</f>
        <v/>
      </c>
      <c r="J751" s="12">
        <f>$J$742</f>
        <v/>
      </c>
      <c r="K751" s="13" t="inlineStr">
        <is>
          <t>▼</t>
        </is>
      </c>
    </row>
    <row r="752" ht="21.75" customHeight="1" s="314">
      <c r="A752" s="32">
        <f>IF(C752="","",1060)</f>
        <v/>
      </c>
      <c r="B752" s="7" t="n">
        <v>46183</v>
      </c>
      <c r="C752" s="14" t="n"/>
      <c r="D752" s="16" t="n"/>
      <c r="E752" s="15" t="inlineStr">
        <is>
          <t>▼</t>
        </is>
      </c>
      <c r="F752" s="15" t="inlineStr">
        <is>
          <t>▼</t>
        </is>
      </c>
      <c r="G752" s="16" t="n"/>
      <c r="H752" s="15" t="inlineStr">
        <is>
          <t>▼</t>
        </is>
      </c>
      <c r="I752" s="17">
        <f>IF(C752="","",D752+IF(F752="Ambil Obat",IF(G752="",0,G752),0))</f>
        <v/>
      </c>
      <c r="J752" s="12">
        <f>$J$742</f>
        <v/>
      </c>
      <c r="K752" s="18" t="inlineStr">
        <is>
          <t>▼</t>
        </is>
      </c>
    </row>
    <row r="753" ht="21.75" customHeight="1" s="314">
      <c r="A753" s="6">
        <f>IF(C753="","",1061)</f>
        <v/>
      </c>
      <c r="B753" s="7" t="n">
        <v>46183</v>
      </c>
      <c r="C753" s="8" t="n"/>
      <c r="D753" s="9" t="n"/>
      <c r="E753" s="10" t="inlineStr">
        <is>
          <t>▼</t>
        </is>
      </c>
      <c r="F753" s="10" t="inlineStr">
        <is>
          <t>▼</t>
        </is>
      </c>
      <c r="G753" s="9" t="n"/>
      <c r="H753" s="10" t="inlineStr">
        <is>
          <t>▼</t>
        </is>
      </c>
      <c r="I753" s="11">
        <f>IF(C753="","",D753+IF(F753="Ambil Obat",IF(G753="",0,G753),0))</f>
        <v/>
      </c>
      <c r="J753" s="12">
        <f>$J$742</f>
        <v/>
      </c>
      <c r="K753" s="13" t="inlineStr">
        <is>
          <t>▼</t>
        </is>
      </c>
    </row>
    <row r="754" ht="21.75" customHeight="1" s="314">
      <c r="A754" s="32">
        <f>IF(C754="","",1062)</f>
        <v/>
      </c>
      <c r="B754" s="7" t="n">
        <v>46183</v>
      </c>
      <c r="C754" s="14" t="n"/>
      <c r="D754" s="16" t="n"/>
      <c r="E754" s="15" t="inlineStr">
        <is>
          <t>▼</t>
        </is>
      </c>
      <c r="F754" s="15" t="inlineStr">
        <is>
          <t>▼</t>
        </is>
      </c>
      <c r="G754" s="16" t="n"/>
      <c r="H754" s="15" t="inlineStr">
        <is>
          <t>▼</t>
        </is>
      </c>
      <c r="I754" s="17">
        <f>IF(C754="","",D754+IF(F754="Ambil Obat",IF(G754="",0,G754),0))</f>
        <v/>
      </c>
      <c r="J754" s="12">
        <f>$J$742</f>
        <v/>
      </c>
      <c r="K754" s="18" t="inlineStr">
        <is>
          <t>▼</t>
        </is>
      </c>
    </row>
    <row r="755" ht="21.75" customHeight="1" s="314">
      <c r="A755" s="6">
        <f>IF(C755="","",1063)</f>
        <v/>
      </c>
      <c r="B755" s="7" t="n">
        <v>46183</v>
      </c>
      <c r="C755" s="8" t="n"/>
      <c r="D755" s="9" t="n"/>
      <c r="E755" s="10" t="inlineStr">
        <is>
          <t>▼</t>
        </is>
      </c>
      <c r="F755" s="10" t="inlineStr">
        <is>
          <t>▼</t>
        </is>
      </c>
      <c r="G755" s="9" t="n"/>
      <c r="H755" s="10" t="inlineStr">
        <is>
          <t>▼</t>
        </is>
      </c>
      <c r="I755" s="11">
        <f>IF(C755="","",D755+IF(F755="Ambil Obat",IF(G755="",0,G755),0))</f>
        <v/>
      </c>
      <c r="J755" s="12">
        <f>$J$742</f>
        <v/>
      </c>
      <c r="K755" s="13" t="inlineStr">
        <is>
          <t>▼</t>
        </is>
      </c>
    </row>
    <row r="756" ht="21.75" customHeight="1" s="314">
      <c r="A756" s="32">
        <f>IF(C756="","",1064)</f>
        <v/>
      </c>
      <c r="B756" s="7" t="n">
        <v>46183</v>
      </c>
      <c r="C756" s="14" t="n"/>
      <c r="D756" s="16" t="n"/>
      <c r="E756" s="15" t="inlineStr">
        <is>
          <t>▼</t>
        </is>
      </c>
      <c r="F756" s="15" t="inlineStr">
        <is>
          <t>▼</t>
        </is>
      </c>
      <c r="G756" s="16" t="n"/>
      <c r="H756" s="15" t="inlineStr">
        <is>
          <t>▼</t>
        </is>
      </c>
      <c r="I756" s="17">
        <f>IF(C756="","",D756+IF(F756="Ambil Obat",IF(G756="",0,G756),0))</f>
        <v/>
      </c>
      <c r="J756" s="12">
        <f>$J$742</f>
        <v/>
      </c>
      <c r="K756" s="18" t="inlineStr">
        <is>
          <t>▼</t>
        </is>
      </c>
    </row>
    <row r="757" ht="21.75" customHeight="1" s="314">
      <c r="A757" s="6">
        <f>IF(C757="","",1065)</f>
        <v/>
      </c>
      <c r="B757" s="7" t="n">
        <v>46183</v>
      </c>
      <c r="C757" s="8" t="n"/>
      <c r="D757" s="9" t="n"/>
      <c r="E757" s="10" t="inlineStr">
        <is>
          <t>▼</t>
        </is>
      </c>
      <c r="F757" s="10" t="inlineStr">
        <is>
          <t>▼</t>
        </is>
      </c>
      <c r="G757" s="9" t="n"/>
      <c r="H757" s="10" t="inlineStr">
        <is>
          <t>▼</t>
        </is>
      </c>
      <c r="I757" s="11">
        <f>IF(C757="","",D757+IF(F757="Ambil Obat",IF(G757="",0,G757),0))</f>
        <v/>
      </c>
      <c r="J757" s="12">
        <f>$J$742</f>
        <v/>
      </c>
      <c r="K757" s="13" t="inlineStr">
        <is>
          <t>▼</t>
        </is>
      </c>
    </row>
    <row r="758" ht="24" customHeight="1" s="314">
      <c r="A758" s="248">
        <f>IF(COUNTA(C743:C757)=0,"— belum ada data —","📊 Sub-total  "&amp; TEXT(B743,"DD MMM YYYY") &amp;"  ("&amp;COUNTA(C743:C757)&amp;" pasien)")</f>
        <v/>
      </c>
      <c r="B758" s="316" t="n"/>
      <c r="C758" s="316" t="n"/>
      <c r="D758" s="19">
        <f>IF(COUNTA(C743:C757)=0,"",SUM(D743:D757))</f>
        <v/>
      </c>
      <c r="E758" s="20">
        <f>IF(COUNTA(C743:C757)=0,"",SUMIF(E743:E757,"Cash",D743:D757))</f>
        <v/>
      </c>
      <c r="F758" s="21">
        <f>IF(COUNTA(C743:C757)=0,"",SUMIF(E743:E757,"Transfer Bank",D743:D757))</f>
        <v/>
      </c>
      <c r="G758" s="19">
        <f>IF(COUNTA(C743:C757)=0,"",SUMIF(F743:F757,"Ambil Obat",G743:G757))</f>
        <v/>
      </c>
      <c r="H758" s="20">
        <f>IF(COUNTA(C743:C757)=0,"",SUMIFS(G743:G757,H743:H757,"Cash",F743:F757,"Ambil Obat"))</f>
        <v/>
      </c>
      <c r="I758" s="21">
        <f>IF(COUNTA(C743:C757)=0,"",SUMIFS(G743:G757,H743:H757,"Transfer Bank",F743:F757,"Ambil Obat"))</f>
        <v/>
      </c>
      <c r="J758" s="22" t="n"/>
      <c r="K758" s="23">
        <f>IF(COUNTA(C743:C757)=0,"",D758+G758)</f>
        <v/>
      </c>
    </row>
    <row r="759" ht="24" customHeight="1" s="314">
      <c r="A759" s="249" t="inlineStr">
        <is>
          <t>📅  Kamis, 11 Juni 2026</t>
        </is>
      </c>
      <c r="B759" s="5" t="n"/>
      <c r="C759" s="5" t="n"/>
      <c r="D759" s="5" t="n"/>
      <c r="E759" s="5" t="n"/>
      <c r="F759" s="5" t="n"/>
      <c r="G759" s="5" t="n"/>
      <c r="H759" s="5" t="n"/>
      <c r="I759" s="5" t="n"/>
      <c r="J759" s="4" t="inlineStr">
        <is>
          <t>dr. ARIF</t>
        </is>
      </c>
      <c r="K759" s="5" t="n"/>
    </row>
    <row r="760" ht="21.75" customHeight="1" s="314">
      <c r="A760" s="6">
        <f>IF(C760="","",1066)</f>
        <v/>
      </c>
      <c r="B760" s="7" t="n">
        <v>46184</v>
      </c>
      <c r="C760" s="8" t="n"/>
      <c r="D760" s="9" t="n"/>
      <c r="E760" s="10" t="inlineStr">
        <is>
          <t>▼</t>
        </is>
      </c>
      <c r="F760" s="10" t="inlineStr">
        <is>
          <t>▼</t>
        </is>
      </c>
      <c r="G760" s="9" t="n"/>
      <c r="H760" s="10" t="inlineStr">
        <is>
          <t>▼</t>
        </is>
      </c>
      <c r="I760" s="11">
        <f>IF(C760="","",D760+IF(F760="Ambil Obat",IF(G760="",0,G760),0))</f>
        <v/>
      </c>
      <c r="J760" s="12">
        <f>$J$759</f>
        <v/>
      </c>
      <c r="K760" s="13" t="inlineStr">
        <is>
          <t>▼</t>
        </is>
      </c>
    </row>
    <row r="761" ht="21.75" customHeight="1" s="314">
      <c r="A761" s="32">
        <f>IF(C761="","",1067)</f>
        <v/>
      </c>
      <c r="B761" s="7" t="n">
        <v>46184</v>
      </c>
      <c r="C761" s="14" t="n"/>
      <c r="D761" s="16" t="n"/>
      <c r="E761" s="15" t="inlineStr">
        <is>
          <t>▼</t>
        </is>
      </c>
      <c r="F761" s="15" t="inlineStr">
        <is>
          <t>▼</t>
        </is>
      </c>
      <c r="G761" s="16" t="n"/>
      <c r="H761" s="15" t="inlineStr">
        <is>
          <t>▼</t>
        </is>
      </c>
      <c r="I761" s="17">
        <f>IF(C761="","",D761+IF(F761="Ambil Obat",IF(G761="",0,G761),0))</f>
        <v/>
      </c>
      <c r="J761" s="12">
        <f>$J$759</f>
        <v/>
      </c>
      <c r="K761" s="18" t="inlineStr">
        <is>
          <t>▼</t>
        </is>
      </c>
    </row>
    <row r="762" ht="21.75" customHeight="1" s="314">
      <c r="A762" s="6">
        <f>IF(C762="","",1068)</f>
        <v/>
      </c>
      <c r="B762" s="7" t="n">
        <v>46184</v>
      </c>
      <c r="C762" s="8" t="n"/>
      <c r="D762" s="9" t="n"/>
      <c r="E762" s="10" t="inlineStr">
        <is>
          <t>▼</t>
        </is>
      </c>
      <c r="F762" s="10" t="inlineStr">
        <is>
          <t>▼</t>
        </is>
      </c>
      <c r="G762" s="9" t="n"/>
      <c r="H762" s="10" t="inlineStr">
        <is>
          <t>▼</t>
        </is>
      </c>
      <c r="I762" s="11">
        <f>IF(C762="","",D762+IF(F762="Ambil Obat",IF(G762="",0,G762),0))</f>
        <v/>
      </c>
      <c r="J762" s="12">
        <f>$J$759</f>
        <v/>
      </c>
      <c r="K762" s="13" t="inlineStr">
        <is>
          <t>▼</t>
        </is>
      </c>
    </row>
    <row r="763" ht="21.75" customHeight="1" s="314">
      <c r="A763" s="32">
        <f>IF(C763="","",1069)</f>
        <v/>
      </c>
      <c r="B763" s="7" t="n">
        <v>46184</v>
      </c>
      <c r="C763" s="14" t="n"/>
      <c r="D763" s="16" t="n"/>
      <c r="E763" s="15" t="inlineStr">
        <is>
          <t>▼</t>
        </is>
      </c>
      <c r="F763" s="15" t="inlineStr">
        <is>
          <t>▼</t>
        </is>
      </c>
      <c r="G763" s="16" t="n"/>
      <c r="H763" s="15" t="inlineStr">
        <is>
          <t>▼</t>
        </is>
      </c>
      <c r="I763" s="17">
        <f>IF(C763="","",D763+IF(F763="Ambil Obat",IF(G763="",0,G763),0))</f>
        <v/>
      </c>
      <c r="J763" s="12">
        <f>$J$759</f>
        <v/>
      </c>
      <c r="K763" s="18" t="inlineStr">
        <is>
          <t>▼</t>
        </is>
      </c>
    </row>
    <row r="764" ht="21.75" customHeight="1" s="314">
      <c r="A764" s="6">
        <f>IF(C764="","",1070)</f>
        <v/>
      </c>
      <c r="B764" s="7" t="n">
        <v>46184</v>
      </c>
      <c r="C764" s="8" t="n"/>
      <c r="D764" s="9" t="n"/>
      <c r="E764" s="10" t="inlineStr">
        <is>
          <t>▼</t>
        </is>
      </c>
      <c r="F764" s="10" t="inlineStr">
        <is>
          <t>▼</t>
        </is>
      </c>
      <c r="G764" s="9" t="n"/>
      <c r="H764" s="10" t="inlineStr">
        <is>
          <t>▼</t>
        </is>
      </c>
      <c r="I764" s="11">
        <f>IF(C764="","",D764+IF(F764="Ambil Obat",IF(G764="",0,G764),0))</f>
        <v/>
      </c>
      <c r="J764" s="12">
        <f>$J$759</f>
        <v/>
      </c>
      <c r="K764" s="13" t="inlineStr">
        <is>
          <t>▼</t>
        </is>
      </c>
    </row>
    <row r="765" ht="21.75" customHeight="1" s="314">
      <c r="A765" s="32">
        <f>IF(C765="","",1071)</f>
        <v/>
      </c>
      <c r="B765" s="7" t="n">
        <v>46184</v>
      </c>
      <c r="C765" s="14" t="n"/>
      <c r="D765" s="16" t="n"/>
      <c r="E765" s="15" t="inlineStr">
        <is>
          <t>▼</t>
        </is>
      </c>
      <c r="F765" s="15" t="inlineStr">
        <is>
          <t>▼</t>
        </is>
      </c>
      <c r="G765" s="16" t="n"/>
      <c r="H765" s="15" t="inlineStr">
        <is>
          <t>▼</t>
        </is>
      </c>
      <c r="I765" s="17">
        <f>IF(C765="","",D765+IF(F765="Ambil Obat",IF(G765="",0,G765),0))</f>
        <v/>
      </c>
      <c r="J765" s="12">
        <f>$J$759</f>
        <v/>
      </c>
      <c r="K765" s="18" t="inlineStr">
        <is>
          <t>▼</t>
        </is>
      </c>
    </row>
    <row r="766" ht="21.75" customHeight="1" s="314">
      <c r="A766" s="6">
        <f>IF(C766="","",1072)</f>
        <v/>
      </c>
      <c r="B766" s="7" t="n">
        <v>46184</v>
      </c>
      <c r="C766" s="8" t="n"/>
      <c r="D766" s="9" t="n"/>
      <c r="E766" s="10" t="inlineStr">
        <is>
          <t>▼</t>
        </is>
      </c>
      <c r="F766" s="10" t="inlineStr">
        <is>
          <t>▼</t>
        </is>
      </c>
      <c r="G766" s="9" t="n"/>
      <c r="H766" s="10" t="inlineStr">
        <is>
          <t>▼</t>
        </is>
      </c>
      <c r="I766" s="11">
        <f>IF(C766="","",D766+IF(F766="Ambil Obat",IF(G766="",0,G766),0))</f>
        <v/>
      </c>
      <c r="J766" s="12">
        <f>$J$759</f>
        <v/>
      </c>
      <c r="K766" s="13" t="inlineStr">
        <is>
          <t>▼</t>
        </is>
      </c>
    </row>
    <row r="767" ht="21.75" customHeight="1" s="314">
      <c r="A767" s="32">
        <f>IF(C767="","",1073)</f>
        <v/>
      </c>
      <c r="B767" s="7" t="n">
        <v>46184</v>
      </c>
      <c r="C767" s="14" t="n"/>
      <c r="D767" s="16" t="n"/>
      <c r="E767" s="15" t="inlineStr">
        <is>
          <t>▼</t>
        </is>
      </c>
      <c r="F767" s="15" t="inlineStr">
        <is>
          <t>▼</t>
        </is>
      </c>
      <c r="G767" s="16" t="n"/>
      <c r="H767" s="15" t="inlineStr">
        <is>
          <t>▼</t>
        </is>
      </c>
      <c r="I767" s="17">
        <f>IF(C767="","",D767+IF(F767="Ambil Obat",IF(G767="",0,G767),0))</f>
        <v/>
      </c>
      <c r="J767" s="12">
        <f>$J$759</f>
        <v/>
      </c>
      <c r="K767" s="18" t="inlineStr">
        <is>
          <t>▼</t>
        </is>
      </c>
    </row>
    <row r="768" ht="21.75" customHeight="1" s="314">
      <c r="A768" s="6">
        <f>IF(C768="","",1074)</f>
        <v/>
      </c>
      <c r="B768" s="7" t="n">
        <v>46184</v>
      </c>
      <c r="C768" s="8" t="n"/>
      <c r="D768" s="9" t="n"/>
      <c r="E768" s="10" t="inlineStr">
        <is>
          <t>▼</t>
        </is>
      </c>
      <c r="F768" s="10" t="inlineStr">
        <is>
          <t>▼</t>
        </is>
      </c>
      <c r="G768" s="9" t="n"/>
      <c r="H768" s="10" t="inlineStr">
        <is>
          <t>▼</t>
        </is>
      </c>
      <c r="I768" s="11">
        <f>IF(C768="","",D768+IF(F768="Ambil Obat",IF(G768="",0,G768),0))</f>
        <v/>
      </c>
      <c r="J768" s="12">
        <f>$J$759</f>
        <v/>
      </c>
      <c r="K768" s="13" t="inlineStr">
        <is>
          <t>▼</t>
        </is>
      </c>
    </row>
    <row r="769" ht="21.75" customHeight="1" s="314">
      <c r="A769" s="32">
        <f>IF(C769="","",1075)</f>
        <v/>
      </c>
      <c r="B769" s="7" t="n">
        <v>46184</v>
      </c>
      <c r="C769" s="14" t="n"/>
      <c r="D769" s="16" t="n"/>
      <c r="E769" s="15" t="inlineStr">
        <is>
          <t>▼</t>
        </is>
      </c>
      <c r="F769" s="15" t="inlineStr">
        <is>
          <t>▼</t>
        </is>
      </c>
      <c r="G769" s="16" t="n"/>
      <c r="H769" s="15" t="inlineStr">
        <is>
          <t>▼</t>
        </is>
      </c>
      <c r="I769" s="17">
        <f>IF(C769="","",D769+IF(F769="Ambil Obat",IF(G769="",0,G769),0))</f>
        <v/>
      </c>
      <c r="J769" s="12">
        <f>$J$759</f>
        <v/>
      </c>
      <c r="K769" s="18" t="inlineStr">
        <is>
          <t>▼</t>
        </is>
      </c>
    </row>
    <row r="770" ht="21.75" customHeight="1" s="314">
      <c r="A770" s="6">
        <f>IF(C770="","",1076)</f>
        <v/>
      </c>
      <c r="B770" s="7" t="n">
        <v>46184</v>
      </c>
      <c r="C770" s="8" t="n"/>
      <c r="D770" s="9" t="n"/>
      <c r="E770" s="10" t="inlineStr">
        <is>
          <t>▼</t>
        </is>
      </c>
      <c r="F770" s="10" t="inlineStr">
        <is>
          <t>▼</t>
        </is>
      </c>
      <c r="G770" s="9" t="n"/>
      <c r="H770" s="10" t="inlineStr">
        <is>
          <t>▼</t>
        </is>
      </c>
      <c r="I770" s="11">
        <f>IF(C770="","",D770+IF(F770="Ambil Obat",IF(G770="",0,G770),0))</f>
        <v/>
      </c>
      <c r="J770" s="12">
        <f>$J$759</f>
        <v/>
      </c>
      <c r="K770" s="13" t="inlineStr">
        <is>
          <t>▼</t>
        </is>
      </c>
    </row>
    <row r="771" ht="21.75" customHeight="1" s="314">
      <c r="A771" s="32">
        <f>IF(C771="","",1077)</f>
        <v/>
      </c>
      <c r="B771" s="7" t="n">
        <v>46184</v>
      </c>
      <c r="C771" s="14" t="n"/>
      <c r="D771" s="16" t="n"/>
      <c r="E771" s="15" t="inlineStr">
        <is>
          <t>▼</t>
        </is>
      </c>
      <c r="F771" s="15" t="inlineStr">
        <is>
          <t>▼</t>
        </is>
      </c>
      <c r="G771" s="16" t="n"/>
      <c r="H771" s="15" t="inlineStr">
        <is>
          <t>▼</t>
        </is>
      </c>
      <c r="I771" s="17">
        <f>IF(C771="","",D771+IF(F771="Ambil Obat",IF(G771="",0,G771),0))</f>
        <v/>
      </c>
      <c r="J771" s="12">
        <f>$J$759</f>
        <v/>
      </c>
      <c r="K771" s="18" t="inlineStr">
        <is>
          <t>▼</t>
        </is>
      </c>
    </row>
    <row r="772" ht="21.75" customHeight="1" s="314">
      <c r="A772" s="6">
        <f>IF(C772="","",1078)</f>
        <v/>
      </c>
      <c r="B772" s="7" t="n">
        <v>46184</v>
      </c>
      <c r="C772" s="8" t="n"/>
      <c r="D772" s="9" t="n"/>
      <c r="E772" s="10" t="inlineStr">
        <is>
          <t>▼</t>
        </is>
      </c>
      <c r="F772" s="10" t="inlineStr">
        <is>
          <t>▼</t>
        </is>
      </c>
      <c r="G772" s="9" t="n"/>
      <c r="H772" s="10" t="inlineStr">
        <is>
          <t>▼</t>
        </is>
      </c>
      <c r="I772" s="11">
        <f>IF(C772="","",D772+IF(F772="Ambil Obat",IF(G772="",0,G772),0))</f>
        <v/>
      </c>
      <c r="J772" s="12">
        <f>$J$759</f>
        <v/>
      </c>
      <c r="K772" s="13" t="inlineStr">
        <is>
          <t>▼</t>
        </is>
      </c>
    </row>
    <row r="773" ht="21.75" customHeight="1" s="314">
      <c r="A773" s="32">
        <f>IF(C773="","",1079)</f>
        <v/>
      </c>
      <c r="B773" s="7" t="n">
        <v>46184</v>
      </c>
      <c r="C773" s="14" t="n"/>
      <c r="D773" s="16" t="n"/>
      <c r="E773" s="15" t="inlineStr">
        <is>
          <t>▼</t>
        </is>
      </c>
      <c r="F773" s="15" t="inlineStr">
        <is>
          <t>▼</t>
        </is>
      </c>
      <c r="G773" s="16" t="n"/>
      <c r="H773" s="15" t="inlineStr">
        <is>
          <t>▼</t>
        </is>
      </c>
      <c r="I773" s="17">
        <f>IF(C773="","",D773+IF(F773="Ambil Obat",IF(G773="",0,G773),0))</f>
        <v/>
      </c>
      <c r="J773" s="12">
        <f>$J$759</f>
        <v/>
      </c>
      <c r="K773" s="18" t="inlineStr">
        <is>
          <t>▼</t>
        </is>
      </c>
    </row>
    <row r="774" ht="21.75" customHeight="1" s="314">
      <c r="A774" s="6">
        <f>IF(C774="","",1080)</f>
        <v/>
      </c>
      <c r="B774" s="7" t="n">
        <v>46184</v>
      </c>
      <c r="C774" s="8" t="n"/>
      <c r="D774" s="9" t="n"/>
      <c r="E774" s="10" t="inlineStr">
        <is>
          <t>▼</t>
        </is>
      </c>
      <c r="F774" s="10" t="inlineStr">
        <is>
          <t>▼</t>
        </is>
      </c>
      <c r="G774" s="9" t="n"/>
      <c r="H774" s="10" t="inlineStr">
        <is>
          <t>▼</t>
        </is>
      </c>
      <c r="I774" s="11">
        <f>IF(C774="","",D774+IF(F774="Ambil Obat",IF(G774="",0,G774),0))</f>
        <v/>
      </c>
      <c r="J774" s="12">
        <f>$J$759</f>
        <v/>
      </c>
      <c r="K774" s="13" t="inlineStr">
        <is>
          <t>▼</t>
        </is>
      </c>
    </row>
    <row r="775" ht="24" customHeight="1" s="314">
      <c r="A775" s="248">
        <f>IF(COUNTA(C760:C774)=0,"— belum ada data —","📊 Sub-total  "&amp; TEXT(B760,"DD MMM YYYY") &amp;"  ("&amp;COUNTA(C760:C774)&amp;" pasien)")</f>
        <v/>
      </c>
      <c r="B775" s="316" t="n"/>
      <c r="C775" s="316" t="n"/>
      <c r="D775" s="19">
        <f>IF(COUNTA(C760:C774)=0,"",SUM(D760:D774))</f>
        <v/>
      </c>
      <c r="E775" s="20">
        <f>IF(COUNTA(C760:C774)=0,"",SUMIF(E760:E774,"Cash",D760:D774))</f>
        <v/>
      </c>
      <c r="F775" s="21">
        <f>IF(COUNTA(C760:C774)=0,"",SUMIF(E760:E774,"Transfer Bank",D760:D774))</f>
        <v/>
      </c>
      <c r="G775" s="19">
        <f>IF(COUNTA(C760:C774)=0,"",SUMIF(F760:F774,"Ambil Obat",G760:G774))</f>
        <v/>
      </c>
      <c r="H775" s="20">
        <f>IF(COUNTA(C760:C774)=0,"",SUMIFS(G760:G774,H760:H774,"Cash",F760:F774,"Ambil Obat"))</f>
        <v/>
      </c>
      <c r="I775" s="21">
        <f>IF(COUNTA(C760:C774)=0,"",SUMIFS(G760:G774,H760:H774,"Transfer Bank",F760:F774,"Ambil Obat"))</f>
        <v/>
      </c>
      <c r="J775" s="22" t="n"/>
      <c r="K775" s="23">
        <f>IF(COUNTA(C760:C774)=0,"",D775+G775)</f>
        <v/>
      </c>
    </row>
    <row r="776" ht="24" customHeight="1" s="314">
      <c r="A776" s="249" t="inlineStr">
        <is>
          <t>📅  Jumat, 12 Juni 2026</t>
        </is>
      </c>
      <c r="B776" s="5" t="n"/>
      <c r="C776" s="5" t="n"/>
      <c r="D776" s="5" t="n"/>
      <c r="E776" s="5" t="n"/>
      <c r="F776" s="5" t="n"/>
      <c r="G776" s="5" t="n"/>
      <c r="H776" s="5" t="n"/>
      <c r="I776" s="5" t="n"/>
      <c r="J776" s="4" t="inlineStr">
        <is>
          <t>dr. JOJO</t>
        </is>
      </c>
      <c r="K776" s="5" t="n"/>
    </row>
    <row r="777" ht="21.75" customHeight="1" s="314">
      <c r="A777" s="6">
        <f>IF(C777="","",1081)</f>
        <v/>
      </c>
      <c r="B777" s="7" t="n">
        <v>46185</v>
      </c>
      <c r="C777" s="8" t="n"/>
      <c r="D777" s="9" t="n"/>
      <c r="E777" s="10" t="inlineStr">
        <is>
          <t>▼</t>
        </is>
      </c>
      <c r="F777" s="10" t="inlineStr">
        <is>
          <t>▼</t>
        </is>
      </c>
      <c r="G777" s="9" t="n"/>
      <c r="H777" s="10" t="inlineStr">
        <is>
          <t>▼</t>
        </is>
      </c>
      <c r="I777" s="11">
        <f>IF(C777="","",D777+IF(F777="Ambil Obat",IF(G777="",0,G777),0))</f>
        <v/>
      </c>
      <c r="J777" s="12">
        <f>$J$776</f>
        <v/>
      </c>
      <c r="K777" s="13" t="inlineStr">
        <is>
          <t>▼</t>
        </is>
      </c>
    </row>
    <row r="778" ht="21.75" customHeight="1" s="314">
      <c r="A778" s="32">
        <f>IF(C778="","",1082)</f>
        <v/>
      </c>
      <c r="B778" s="7" t="n">
        <v>46185</v>
      </c>
      <c r="C778" s="14" t="n"/>
      <c r="D778" s="16" t="n"/>
      <c r="E778" s="15" t="inlineStr">
        <is>
          <t>▼</t>
        </is>
      </c>
      <c r="F778" s="15" t="inlineStr">
        <is>
          <t>▼</t>
        </is>
      </c>
      <c r="G778" s="16" t="n"/>
      <c r="H778" s="15" t="inlineStr">
        <is>
          <t>▼</t>
        </is>
      </c>
      <c r="I778" s="17">
        <f>IF(C778="","",D778+IF(F778="Ambil Obat",IF(G778="",0,G778),0))</f>
        <v/>
      </c>
      <c r="J778" s="12">
        <f>$J$776</f>
        <v/>
      </c>
      <c r="K778" s="18" t="inlineStr">
        <is>
          <t>▼</t>
        </is>
      </c>
    </row>
    <row r="779" ht="21.75" customHeight="1" s="314">
      <c r="A779" s="6">
        <f>IF(C779="","",1083)</f>
        <v/>
      </c>
      <c r="B779" s="7" t="n">
        <v>46185</v>
      </c>
      <c r="C779" s="8" t="n"/>
      <c r="D779" s="9" t="n"/>
      <c r="E779" s="10" t="inlineStr">
        <is>
          <t>▼</t>
        </is>
      </c>
      <c r="F779" s="10" t="inlineStr">
        <is>
          <t>▼</t>
        </is>
      </c>
      <c r="G779" s="9" t="n"/>
      <c r="H779" s="10" t="inlineStr">
        <is>
          <t>▼</t>
        </is>
      </c>
      <c r="I779" s="11">
        <f>IF(C779="","",D779+IF(F779="Ambil Obat",IF(G779="",0,G779),0))</f>
        <v/>
      </c>
      <c r="J779" s="12">
        <f>$J$776</f>
        <v/>
      </c>
      <c r="K779" s="13" t="inlineStr">
        <is>
          <t>▼</t>
        </is>
      </c>
    </row>
    <row r="780" ht="21.75" customHeight="1" s="314">
      <c r="A780" s="32">
        <f>IF(C780="","",1084)</f>
        <v/>
      </c>
      <c r="B780" s="7" t="n">
        <v>46185</v>
      </c>
      <c r="C780" s="14" t="n"/>
      <c r="D780" s="16" t="n"/>
      <c r="E780" s="15" t="inlineStr">
        <is>
          <t>▼</t>
        </is>
      </c>
      <c r="F780" s="15" t="inlineStr">
        <is>
          <t>▼</t>
        </is>
      </c>
      <c r="G780" s="16" t="n"/>
      <c r="H780" s="15" t="inlineStr">
        <is>
          <t>▼</t>
        </is>
      </c>
      <c r="I780" s="17">
        <f>IF(C780="","",D780+IF(F780="Ambil Obat",IF(G780="",0,G780),0))</f>
        <v/>
      </c>
      <c r="J780" s="12">
        <f>$J$776</f>
        <v/>
      </c>
      <c r="K780" s="18" t="inlineStr">
        <is>
          <t>▼</t>
        </is>
      </c>
    </row>
    <row r="781" ht="21.75" customHeight="1" s="314">
      <c r="A781" s="6">
        <f>IF(C781="","",1085)</f>
        <v/>
      </c>
      <c r="B781" s="7" t="n">
        <v>46185</v>
      </c>
      <c r="C781" s="8" t="n"/>
      <c r="D781" s="9" t="n"/>
      <c r="E781" s="10" t="inlineStr">
        <is>
          <t>▼</t>
        </is>
      </c>
      <c r="F781" s="10" t="inlineStr">
        <is>
          <t>▼</t>
        </is>
      </c>
      <c r="G781" s="9" t="n"/>
      <c r="H781" s="10" t="inlineStr">
        <is>
          <t>▼</t>
        </is>
      </c>
      <c r="I781" s="11">
        <f>IF(C781="","",D781+IF(F781="Ambil Obat",IF(G781="",0,G781),0))</f>
        <v/>
      </c>
      <c r="J781" s="12">
        <f>$J$776</f>
        <v/>
      </c>
      <c r="K781" s="13" t="inlineStr">
        <is>
          <t>▼</t>
        </is>
      </c>
    </row>
    <row r="782" ht="21.75" customHeight="1" s="314">
      <c r="A782" s="32">
        <f>IF(C782="","",1086)</f>
        <v/>
      </c>
      <c r="B782" s="7" t="n">
        <v>46185</v>
      </c>
      <c r="C782" s="14" t="n"/>
      <c r="D782" s="16" t="n"/>
      <c r="E782" s="15" t="inlineStr">
        <is>
          <t>▼</t>
        </is>
      </c>
      <c r="F782" s="15" t="inlineStr">
        <is>
          <t>▼</t>
        </is>
      </c>
      <c r="G782" s="16" t="n"/>
      <c r="H782" s="15" t="inlineStr">
        <is>
          <t>▼</t>
        </is>
      </c>
      <c r="I782" s="17">
        <f>IF(C782="","",D782+IF(F782="Ambil Obat",IF(G782="",0,G782),0))</f>
        <v/>
      </c>
      <c r="J782" s="12">
        <f>$J$776</f>
        <v/>
      </c>
      <c r="K782" s="18" t="inlineStr">
        <is>
          <t>▼</t>
        </is>
      </c>
    </row>
    <row r="783" ht="21.75" customHeight="1" s="314">
      <c r="A783" s="6">
        <f>IF(C783="","",1087)</f>
        <v/>
      </c>
      <c r="B783" s="7" t="n">
        <v>46185</v>
      </c>
      <c r="C783" s="8" t="n"/>
      <c r="D783" s="9" t="n"/>
      <c r="E783" s="10" t="inlineStr">
        <is>
          <t>▼</t>
        </is>
      </c>
      <c r="F783" s="10" t="inlineStr">
        <is>
          <t>▼</t>
        </is>
      </c>
      <c r="G783" s="9" t="n"/>
      <c r="H783" s="10" t="inlineStr">
        <is>
          <t>▼</t>
        </is>
      </c>
      <c r="I783" s="11">
        <f>IF(C783="","",D783+IF(F783="Ambil Obat",IF(G783="",0,G783),0))</f>
        <v/>
      </c>
      <c r="J783" s="12">
        <f>$J$776</f>
        <v/>
      </c>
      <c r="K783" s="13" t="inlineStr">
        <is>
          <t>▼</t>
        </is>
      </c>
    </row>
    <row r="784" ht="21.75" customHeight="1" s="314">
      <c r="A784" s="32">
        <f>IF(C784="","",1088)</f>
        <v/>
      </c>
      <c r="B784" s="7" t="n">
        <v>46185</v>
      </c>
      <c r="C784" s="14" t="n"/>
      <c r="D784" s="16" t="n"/>
      <c r="E784" s="15" t="inlineStr">
        <is>
          <t>▼</t>
        </is>
      </c>
      <c r="F784" s="15" t="inlineStr">
        <is>
          <t>▼</t>
        </is>
      </c>
      <c r="G784" s="16" t="n"/>
      <c r="H784" s="15" t="inlineStr">
        <is>
          <t>▼</t>
        </is>
      </c>
      <c r="I784" s="17">
        <f>IF(C784="","",D784+IF(F784="Ambil Obat",IF(G784="",0,G784),0))</f>
        <v/>
      </c>
      <c r="J784" s="12">
        <f>$J$776</f>
        <v/>
      </c>
      <c r="K784" s="18" t="inlineStr">
        <is>
          <t>▼</t>
        </is>
      </c>
    </row>
    <row r="785" ht="21.75" customHeight="1" s="314">
      <c r="A785" s="6">
        <f>IF(C785="","",1089)</f>
        <v/>
      </c>
      <c r="B785" s="7" t="n">
        <v>46185</v>
      </c>
      <c r="C785" s="8" t="n"/>
      <c r="D785" s="9" t="n"/>
      <c r="E785" s="10" t="inlineStr">
        <is>
          <t>▼</t>
        </is>
      </c>
      <c r="F785" s="10" t="inlineStr">
        <is>
          <t>▼</t>
        </is>
      </c>
      <c r="G785" s="9" t="n"/>
      <c r="H785" s="10" t="inlineStr">
        <is>
          <t>▼</t>
        </is>
      </c>
      <c r="I785" s="11">
        <f>IF(C785="","",D785+IF(F785="Ambil Obat",IF(G785="",0,G785),0))</f>
        <v/>
      </c>
      <c r="J785" s="12">
        <f>$J$776</f>
        <v/>
      </c>
      <c r="K785" s="13" t="inlineStr">
        <is>
          <t>▼</t>
        </is>
      </c>
    </row>
    <row r="786" ht="21.75" customHeight="1" s="314">
      <c r="A786" s="32">
        <f>IF(C786="","",1090)</f>
        <v/>
      </c>
      <c r="B786" s="7" t="n">
        <v>46185</v>
      </c>
      <c r="C786" s="14" t="n"/>
      <c r="D786" s="16" t="n"/>
      <c r="E786" s="15" t="inlineStr">
        <is>
          <t>▼</t>
        </is>
      </c>
      <c r="F786" s="15" t="inlineStr">
        <is>
          <t>▼</t>
        </is>
      </c>
      <c r="G786" s="16" t="n"/>
      <c r="H786" s="15" t="inlineStr">
        <is>
          <t>▼</t>
        </is>
      </c>
      <c r="I786" s="17">
        <f>IF(C786="","",D786+IF(F786="Ambil Obat",IF(G786="",0,G786),0))</f>
        <v/>
      </c>
      <c r="J786" s="12">
        <f>$J$776</f>
        <v/>
      </c>
      <c r="K786" s="18" t="inlineStr">
        <is>
          <t>▼</t>
        </is>
      </c>
    </row>
    <row r="787" ht="21.75" customHeight="1" s="314">
      <c r="A787" s="6">
        <f>IF(C787="","",1091)</f>
        <v/>
      </c>
      <c r="B787" s="7" t="n">
        <v>46185</v>
      </c>
      <c r="C787" s="8" t="n"/>
      <c r="D787" s="9" t="n"/>
      <c r="E787" s="10" t="inlineStr">
        <is>
          <t>▼</t>
        </is>
      </c>
      <c r="F787" s="10" t="inlineStr">
        <is>
          <t>▼</t>
        </is>
      </c>
      <c r="G787" s="9" t="n"/>
      <c r="H787" s="10" t="inlineStr">
        <is>
          <t>▼</t>
        </is>
      </c>
      <c r="I787" s="11">
        <f>IF(C787="","",D787+IF(F787="Ambil Obat",IF(G787="",0,G787),0))</f>
        <v/>
      </c>
      <c r="J787" s="12">
        <f>$J$776</f>
        <v/>
      </c>
      <c r="K787" s="13" t="inlineStr">
        <is>
          <t>▼</t>
        </is>
      </c>
    </row>
    <row r="788" ht="21.75" customHeight="1" s="314">
      <c r="A788" s="32">
        <f>IF(C788="","",1092)</f>
        <v/>
      </c>
      <c r="B788" s="7" t="n">
        <v>46185</v>
      </c>
      <c r="C788" s="14" t="n"/>
      <c r="D788" s="16" t="n"/>
      <c r="E788" s="15" t="inlineStr">
        <is>
          <t>▼</t>
        </is>
      </c>
      <c r="F788" s="15" t="inlineStr">
        <is>
          <t>▼</t>
        </is>
      </c>
      <c r="G788" s="16" t="n"/>
      <c r="H788" s="15" t="inlineStr">
        <is>
          <t>▼</t>
        </is>
      </c>
      <c r="I788" s="17">
        <f>IF(C788="","",D788+IF(F788="Ambil Obat",IF(G788="",0,G788),0))</f>
        <v/>
      </c>
      <c r="J788" s="12">
        <f>$J$776</f>
        <v/>
      </c>
      <c r="K788" s="18" t="inlineStr">
        <is>
          <t>▼</t>
        </is>
      </c>
    </row>
    <row r="789" ht="21.75" customHeight="1" s="314">
      <c r="A789" s="6">
        <f>IF(C789="","",1093)</f>
        <v/>
      </c>
      <c r="B789" s="7" t="n">
        <v>46185</v>
      </c>
      <c r="C789" s="8" t="n"/>
      <c r="D789" s="9" t="n"/>
      <c r="E789" s="10" t="inlineStr">
        <is>
          <t>▼</t>
        </is>
      </c>
      <c r="F789" s="10" t="inlineStr">
        <is>
          <t>▼</t>
        </is>
      </c>
      <c r="G789" s="9" t="n"/>
      <c r="H789" s="10" t="inlineStr">
        <is>
          <t>▼</t>
        </is>
      </c>
      <c r="I789" s="11">
        <f>IF(C789="","",D789+IF(F789="Ambil Obat",IF(G789="",0,G789),0))</f>
        <v/>
      </c>
      <c r="J789" s="12">
        <f>$J$776</f>
        <v/>
      </c>
      <c r="K789" s="13" t="inlineStr">
        <is>
          <t>▼</t>
        </is>
      </c>
    </row>
    <row r="790" ht="21.75" customHeight="1" s="314">
      <c r="A790" s="32">
        <f>IF(C790="","",1094)</f>
        <v/>
      </c>
      <c r="B790" s="7" t="n">
        <v>46185</v>
      </c>
      <c r="C790" s="14" t="n"/>
      <c r="D790" s="16" t="n"/>
      <c r="E790" s="15" t="inlineStr">
        <is>
          <t>▼</t>
        </is>
      </c>
      <c r="F790" s="15" t="inlineStr">
        <is>
          <t>▼</t>
        </is>
      </c>
      <c r="G790" s="16" t="n"/>
      <c r="H790" s="15" t="inlineStr">
        <is>
          <t>▼</t>
        </is>
      </c>
      <c r="I790" s="17">
        <f>IF(C790="","",D790+IF(F790="Ambil Obat",IF(G790="",0,G790),0))</f>
        <v/>
      </c>
      <c r="J790" s="12">
        <f>$J$776</f>
        <v/>
      </c>
      <c r="K790" s="18" t="inlineStr">
        <is>
          <t>▼</t>
        </is>
      </c>
    </row>
    <row r="791" ht="21.75" customHeight="1" s="314">
      <c r="A791" s="6">
        <f>IF(C791="","",1095)</f>
        <v/>
      </c>
      <c r="B791" s="7" t="n">
        <v>46185</v>
      </c>
      <c r="C791" s="8" t="n"/>
      <c r="D791" s="9" t="n"/>
      <c r="E791" s="10" t="inlineStr">
        <is>
          <t>▼</t>
        </is>
      </c>
      <c r="F791" s="10" t="inlineStr">
        <is>
          <t>▼</t>
        </is>
      </c>
      <c r="G791" s="9" t="n"/>
      <c r="H791" s="10" t="inlineStr">
        <is>
          <t>▼</t>
        </is>
      </c>
      <c r="I791" s="11">
        <f>IF(C791="","",D791+IF(F791="Ambil Obat",IF(G791="",0,G791),0))</f>
        <v/>
      </c>
      <c r="J791" s="12">
        <f>$J$776</f>
        <v/>
      </c>
      <c r="K791" s="13" t="inlineStr">
        <is>
          <t>▼</t>
        </is>
      </c>
    </row>
    <row r="792" ht="24" customHeight="1" s="314">
      <c r="A792" s="248">
        <f>IF(COUNTA(C777:C791)=0,"— belum ada data —","📊 Sub-total  "&amp; TEXT(B777,"DD MMM YYYY") &amp;"  ("&amp;COUNTA(C777:C791)&amp;" pasien)")</f>
        <v/>
      </c>
      <c r="B792" s="316" t="n"/>
      <c r="C792" s="316" t="n"/>
      <c r="D792" s="19">
        <f>IF(COUNTA(C777:C791)=0,"",SUM(D777:D791))</f>
        <v/>
      </c>
      <c r="E792" s="20">
        <f>IF(COUNTA(C777:C791)=0,"",SUMIF(E777:E791,"Cash",D777:D791))</f>
        <v/>
      </c>
      <c r="F792" s="21">
        <f>IF(COUNTA(C777:C791)=0,"",SUMIF(E777:E791,"Transfer Bank",D777:D791))</f>
        <v/>
      </c>
      <c r="G792" s="19">
        <f>IF(COUNTA(C777:C791)=0,"",SUMIF(F777:F791,"Ambil Obat",G777:G791))</f>
        <v/>
      </c>
      <c r="H792" s="20">
        <f>IF(COUNTA(C777:C791)=0,"",SUMIFS(G777:G791,H777:H791,"Cash",F777:F791,"Ambil Obat"))</f>
        <v/>
      </c>
      <c r="I792" s="21">
        <f>IF(COUNTA(C777:C791)=0,"",SUMIFS(G777:G791,H777:H791,"Transfer Bank",F777:F791,"Ambil Obat"))</f>
        <v/>
      </c>
      <c r="J792" s="22" t="n"/>
      <c r="K792" s="23">
        <f>IF(COUNTA(C777:C791)=0,"",D792+G792)</f>
        <v/>
      </c>
    </row>
    <row r="793" ht="24" customHeight="1" s="314">
      <c r="A793" s="249" t="inlineStr">
        <is>
          <t>📅  Sabtu, 13 Juni 2026</t>
        </is>
      </c>
      <c r="B793" s="5" t="n"/>
      <c r="C793" s="5" t="n"/>
      <c r="D793" s="5" t="n"/>
      <c r="E793" s="5" t="n"/>
      <c r="F793" s="5" t="n"/>
      <c r="G793" s="5" t="n"/>
      <c r="H793" s="5" t="n"/>
      <c r="I793" s="5" t="n"/>
      <c r="J793" s="4" t="inlineStr">
        <is>
          <t>dr. HAWA</t>
        </is>
      </c>
      <c r="K793" s="5" t="n"/>
    </row>
    <row r="794" ht="21.75" customHeight="1" s="314">
      <c r="A794" s="6">
        <f>IF(C794="","",1096)</f>
        <v/>
      </c>
      <c r="B794" s="7" t="n">
        <v>46186</v>
      </c>
      <c r="C794" s="8" t="n"/>
      <c r="D794" s="9" t="n"/>
      <c r="E794" s="10" t="inlineStr">
        <is>
          <t>▼</t>
        </is>
      </c>
      <c r="F794" s="10" t="inlineStr">
        <is>
          <t>▼</t>
        </is>
      </c>
      <c r="G794" s="9" t="n"/>
      <c r="H794" s="10" t="inlineStr">
        <is>
          <t>▼</t>
        </is>
      </c>
      <c r="I794" s="11">
        <f>IF(C794="","",D794+IF(F794="Ambil Obat",IF(G794="",0,G794),0))</f>
        <v/>
      </c>
      <c r="J794" s="12">
        <f>$J$793</f>
        <v/>
      </c>
      <c r="K794" s="13" t="inlineStr">
        <is>
          <t>▼</t>
        </is>
      </c>
    </row>
    <row r="795" ht="21.75" customHeight="1" s="314">
      <c r="A795" s="32">
        <f>IF(C795="","",1097)</f>
        <v/>
      </c>
      <c r="B795" s="7" t="n">
        <v>46186</v>
      </c>
      <c r="C795" s="14" t="n"/>
      <c r="D795" s="16" t="n"/>
      <c r="E795" s="15" t="inlineStr">
        <is>
          <t>▼</t>
        </is>
      </c>
      <c r="F795" s="15" t="inlineStr">
        <is>
          <t>▼</t>
        </is>
      </c>
      <c r="G795" s="16" t="n"/>
      <c r="H795" s="15" t="inlineStr">
        <is>
          <t>▼</t>
        </is>
      </c>
      <c r="I795" s="17">
        <f>IF(C795="","",D795+IF(F795="Ambil Obat",IF(G795="",0,G795),0))</f>
        <v/>
      </c>
      <c r="J795" s="12">
        <f>$J$793</f>
        <v/>
      </c>
      <c r="K795" s="18" t="inlineStr">
        <is>
          <t>▼</t>
        </is>
      </c>
    </row>
    <row r="796" ht="21.75" customHeight="1" s="314">
      <c r="A796" s="6">
        <f>IF(C796="","",1098)</f>
        <v/>
      </c>
      <c r="B796" s="7" t="n">
        <v>46186</v>
      </c>
      <c r="C796" s="8" t="n"/>
      <c r="D796" s="9" t="n"/>
      <c r="E796" s="10" t="inlineStr">
        <is>
          <t>▼</t>
        </is>
      </c>
      <c r="F796" s="10" t="inlineStr">
        <is>
          <t>▼</t>
        </is>
      </c>
      <c r="G796" s="9" t="n"/>
      <c r="H796" s="10" t="inlineStr">
        <is>
          <t>▼</t>
        </is>
      </c>
      <c r="I796" s="11">
        <f>IF(C796="","",D796+IF(F796="Ambil Obat",IF(G796="",0,G796),0))</f>
        <v/>
      </c>
      <c r="J796" s="12">
        <f>$J$793</f>
        <v/>
      </c>
      <c r="K796" s="13" t="inlineStr">
        <is>
          <t>▼</t>
        </is>
      </c>
    </row>
    <row r="797" ht="21.75" customHeight="1" s="314">
      <c r="A797" s="32">
        <f>IF(C797="","",1099)</f>
        <v/>
      </c>
      <c r="B797" s="7" t="n">
        <v>46186</v>
      </c>
      <c r="C797" s="14" t="n"/>
      <c r="D797" s="16" t="n"/>
      <c r="E797" s="15" t="inlineStr">
        <is>
          <t>▼</t>
        </is>
      </c>
      <c r="F797" s="15" t="inlineStr">
        <is>
          <t>▼</t>
        </is>
      </c>
      <c r="G797" s="16" t="n"/>
      <c r="H797" s="15" t="inlineStr">
        <is>
          <t>▼</t>
        </is>
      </c>
      <c r="I797" s="17">
        <f>IF(C797="","",D797+IF(F797="Ambil Obat",IF(G797="",0,G797),0))</f>
        <v/>
      </c>
      <c r="J797" s="12">
        <f>$J$793</f>
        <v/>
      </c>
      <c r="K797" s="18" t="inlineStr">
        <is>
          <t>▼</t>
        </is>
      </c>
    </row>
    <row r="798" ht="21.75" customHeight="1" s="314">
      <c r="A798" s="6">
        <f>IF(C798="","",1100)</f>
        <v/>
      </c>
      <c r="B798" s="7" t="n">
        <v>46186</v>
      </c>
      <c r="C798" s="8" t="n"/>
      <c r="D798" s="9" t="n"/>
      <c r="E798" s="10" t="inlineStr">
        <is>
          <t>▼</t>
        </is>
      </c>
      <c r="F798" s="10" t="inlineStr">
        <is>
          <t>▼</t>
        </is>
      </c>
      <c r="G798" s="9" t="n"/>
      <c r="H798" s="10" t="inlineStr">
        <is>
          <t>▼</t>
        </is>
      </c>
      <c r="I798" s="11">
        <f>IF(C798="","",D798+IF(F798="Ambil Obat",IF(G798="",0,G798),0))</f>
        <v/>
      </c>
      <c r="J798" s="12">
        <f>$J$793</f>
        <v/>
      </c>
      <c r="K798" s="13" t="inlineStr">
        <is>
          <t>▼</t>
        </is>
      </c>
    </row>
    <row r="799" ht="21.75" customHeight="1" s="314">
      <c r="A799" s="32">
        <f>IF(C799="","",1101)</f>
        <v/>
      </c>
      <c r="B799" s="7" t="n">
        <v>46186</v>
      </c>
      <c r="C799" s="14" t="n"/>
      <c r="D799" s="16" t="n"/>
      <c r="E799" s="15" t="inlineStr">
        <is>
          <t>▼</t>
        </is>
      </c>
      <c r="F799" s="15" t="inlineStr">
        <is>
          <t>▼</t>
        </is>
      </c>
      <c r="G799" s="16" t="n"/>
      <c r="H799" s="15" t="inlineStr">
        <is>
          <t>▼</t>
        </is>
      </c>
      <c r="I799" s="17">
        <f>IF(C799="","",D799+IF(F799="Ambil Obat",IF(G799="",0,G799),0))</f>
        <v/>
      </c>
      <c r="J799" s="12">
        <f>$J$793</f>
        <v/>
      </c>
      <c r="K799" s="18" t="inlineStr">
        <is>
          <t>▼</t>
        </is>
      </c>
    </row>
    <row r="800" ht="21.75" customHeight="1" s="314">
      <c r="A800" s="6">
        <f>IF(C800="","",1102)</f>
        <v/>
      </c>
      <c r="B800" s="7" t="n">
        <v>46186</v>
      </c>
      <c r="C800" s="8" t="n"/>
      <c r="D800" s="9" t="n"/>
      <c r="E800" s="10" t="inlineStr">
        <is>
          <t>▼</t>
        </is>
      </c>
      <c r="F800" s="10" t="inlineStr">
        <is>
          <t>▼</t>
        </is>
      </c>
      <c r="G800" s="9" t="n"/>
      <c r="H800" s="10" t="inlineStr">
        <is>
          <t>▼</t>
        </is>
      </c>
      <c r="I800" s="11">
        <f>IF(C800="","",D800+IF(F800="Ambil Obat",IF(G800="",0,G800),0))</f>
        <v/>
      </c>
      <c r="J800" s="12">
        <f>$J$793</f>
        <v/>
      </c>
      <c r="K800" s="13" t="inlineStr">
        <is>
          <t>▼</t>
        </is>
      </c>
    </row>
    <row r="801" ht="21.75" customHeight="1" s="314">
      <c r="A801" s="32">
        <f>IF(C801="","",1103)</f>
        <v/>
      </c>
      <c r="B801" s="7" t="n">
        <v>46186</v>
      </c>
      <c r="C801" s="14" t="n"/>
      <c r="D801" s="16" t="n"/>
      <c r="E801" s="15" t="inlineStr">
        <is>
          <t>▼</t>
        </is>
      </c>
      <c r="F801" s="15" t="inlineStr">
        <is>
          <t>▼</t>
        </is>
      </c>
      <c r="G801" s="16" t="n"/>
      <c r="H801" s="15" t="inlineStr">
        <is>
          <t>▼</t>
        </is>
      </c>
      <c r="I801" s="17">
        <f>IF(C801="","",D801+IF(F801="Ambil Obat",IF(G801="",0,G801),0))</f>
        <v/>
      </c>
      <c r="J801" s="12">
        <f>$J$793</f>
        <v/>
      </c>
      <c r="K801" s="18" t="inlineStr">
        <is>
          <t>▼</t>
        </is>
      </c>
    </row>
    <row r="802" ht="21.75" customHeight="1" s="314">
      <c r="A802" s="6">
        <f>IF(C802="","",1104)</f>
        <v/>
      </c>
      <c r="B802" s="7" t="n">
        <v>46186</v>
      </c>
      <c r="C802" s="8" t="n"/>
      <c r="D802" s="9" t="n"/>
      <c r="E802" s="10" t="inlineStr">
        <is>
          <t>▼</t>
        </is>
      </c>
      <c r="F802" s="10" t="inlineStr">
        <is>
          <t>▼</t>
        </is>
      </c>
      <c r="G802" s="9" t="n"/>
      <c r="H802" s="10" t="inlineStr">
        <is>
          <t>▼</t>
        </is>
      </c>
      <c r="I802" s="11">
        <f>IF(C802="","",D802+IF(F802="Ambil Obat",IF(G802="",0,G802),0))</f>
        <v/>
      </c>
      <c r="J802" s="12">
        <f>$J$793</f>
        <v/>
      </c>
      <c r="K802" s="13" t="inlineStr">
        <is>
          <t>▼</t>
        </is>
      </c>
    </row>
    <row r="803" ht="21.75" customHeight="1" s="314">
      <c r="A803" s="32">
        <f>IF(C803="","",1105)</f>
        <v/>
      </c>
      <c r="B803" s="7" t="n">
        <v>46186</v>
      </c>
      <c r="C803" s="14" t="n"/>
      <c r="D803" s="16" t="n"/>
      <c r="E803" s="15" t="inlineStr">
        <is>
          <t>▼</t>
        </is>
      </c>
      <c r="F803" s="15" t="inlineStr">
        <is>
          <t>▼</t>
        </is>
      </c>
      <c r="G803" s="16" t="n"/>
      <c r="H803" s="15" t="inlineStr">
        <is>
          <t>▼</t>
        </is>
      </c>
      <c r="I803" s="17">
        <f>IF(C803="","",D803+IF(F803="Ambil Obat",IF(G803="",0,G803),0))</f>
        <v/>
      </c>
      <c r="J803" s="12">
        <f>$J$793</f>
        <v/>
      </c>
      <c r="K803" s="18" t="inlineStr">
        <is>
          <t>▼</t>
        </is>
      </c>
    </row>
    <row r="804" ht="21.75" customHeight="1" s="314">
      <c r="A804" s="6">
        <f>IF(C804="","",1106)</f>
        <v/>
      </c>
      <c r="B804" s="7" t="n">
        <v>46186</v>
      </c>
      <c r="C804" s="8" t="n"/>
      <c r="D804" s="9" t="n"/>
      <c r="E804" s="10" t="inlineStr">
        <is>
          <t>▼</t>
        </is>
      </c>
      <c r="F804" s="10" t="inlineStr">
        <is>
          <t>▼</t>
        </is>
      </c>
      <c r="G804" s="9" t="n"/>
      <c r="H804" s="10" t="inlineStr">
        <is>
          <t>▼</t>
        </is>
      </c>
      <c r="I804" s="11">
        <f>IF(C804="","",D804+IF(F804="Ambil Obat",IF(G804="",0,G804),0))</f>
        <v/>
      </c>
      <c r="J804" s="12">
        <f>$J$793</f>
        <v/>
      </c>
      <c r="K804" s="13" t="inlineStr">
        <is>
          <t>▼</t>
        </is>
      </c>
    </row>
    <row r="805" ht="21.75" customHeight="1" s="314">
      <c r="A805" s="32">
        <f>IF(C805="","",1107)</f>
        <v/>
      </c>
      <c r="B805" s="7" t="n">
        <v>46186</v>
      </c>
      <c r="C805" s="14" t="n"/>
      <c r="D805" s="16" t="n"/>
      <c r="E805" s="15" t="inlineStr">
        <is>
          <t>▼</t>
        </is>
      </c>
      <c r="F805" s="15" t="inlineStr">
        <is>
          <t>▼</t>
        </is>
      </c>
      <c r="G805" s="16" t="n"/>
      <c r="H805" s="15" t="inlineStr">
        <is>
          <t>▼</t>
        </is>
      </c>
      <c r="I805" s="17">
        <f>IF(C805="","",D805+IF(F805="Ambil Obat",IF(G805="",0,G805),0))</f>
        <v/>
      </c>
      <c r="J805" s="12">
        <f>$J$793</f>
        <v/>
      </c>
      <c r="K805" s="18" t="inlineStr">
        <is>
          <t>▼</t>
        </is>
      </c>
    </row>
    <row r="806" ht="21.75" customHeight="1" s="314">
      <c r="A806" s="6">
        <f>IF(C806="","",1108)</f>
        <v/>
      </c>
      <c r="B806" s="7" t="n">
        <v>46186</v>
      </c>
      <c r="C806" s="8" t="n"/>
      <c r="D806" s="9" t="n"/>
      <c r="E806" s="10" t="inlineStr">
        <is>
          <t>▼</t>
        </is>
      </c>
      <c r="F806" s="10" t="inlineStr">
        <is>
          <t>▼</t>
        </is>
      </c>
      <c r="G806" s="9" t="n"/>
      <c r="H806" s="10" t="inlineStr">
        <is>
          <t>▼</t>
        </is>
      </c>
      <c r="I806" s="11">
        <f>IF(C806="","",D806+IF(F806="Ambil Obat",IF(G806="",0,G806),0))</f>
        <v/>
      </c>
      <c r="J806" s="12">
        <f>$J$793</f>
        <v/>
      </c>
      <c r="K806" s="13" t="inlineStr">
        <is>
          <t>▼</t>
        </is>
      </c>
    </row>
    <row r="807" ht="21.75" customHeight="1" s="314">
      <c r="A807" s="32">
        <f>IF(C807="","",1109)</f>
        <v/>
      </c>
      <c r="B807" s="7" t="n">
        <v>46186</v>
      </c>
      <c r="C807" s="14" t="n"/>
      <c r="D807" s="16" t="n"/>
      <c r="E807" s="15" t="inlineStr">
        <is>
          <t>▼</t>
        </is>
      </c>
      <c r="F807" s="15" t="inlineStr">
        <is>
          <t>▼</t>
        </is>
      </c>
      <c r="G807" s="16" t="n"/>
      <c r="H807" s="15" t="inlineStr">
        <is>
          <t>▼</t>
        </is>
      </c>
      <c r="I807" s="17">
        <f>IF(C807="","",D807+IF(F807="Ambil Obat",IF(G807="",0,G807),0))</f>
        <v/>
      </c>
      <c r="J807" s="12">
        <f>$J$793</f>
        <v/>
      </c>
      <c r="K807" s="18" t="inlineStr">
        <is>
          <t>▼</t>
        </is>
      </c>
    </row>
    <row r="808" ht="21.75" customHeight="1" s="314">
      <c r="A808" s="6">
        <f>IF(C808="","",1110)</f>
        <v/>
      </c>
      <c r="B808" s="7" t="n">
        <v>46186</v>
      </c>
      <c r="C808" s="8" t="n"/>
      <c r="D808" s="9" t="n"/>
      <c r="E808" s="10" t="inlineStr">
        <is>
          <t>▼</t>
        </is>
      </c>
      <c r="F808" s="10" t="inlineStr">
        <is>
          <t>▼</t>
        </is>
      </c>
      <c r="G808" s="9" t="n"/>
      <c r="H808" s="10" t="inlineStr">
        <is>
          <t>▼</t>
        </is>
      </c>
      <c r="I808" s="11">
        <f>IF(C808="","",D808+IF(F808="Ambil Obat",IF(G808="",0,G808),0))</f>
        <v/>
      </c>
      <c r="J808" s="12">
        <f>$J$793</f>
        <v/>
      </c>
      <c r="K808" s="13" t="inlineStr">
        <is>
          <t>▼</t>
        </is>
      </c>
    </row>
    <row r="809" ht="24" customHeight="1" s="314">
      <c r="A809" s="248">
        <f>IF(COUNTA(C794:C808)=0,"— belum ada data —","📊 Sub-total  "&amp; TEXT(B794,"DD MMM YYYY") &amp;"  ("&amp;COUNTA(C794:C808)&amp;" pasien)")</f>
        <v/>
      </c>
      <c r="B809" s="316" t="n"/>
      <c r="C809" s="316" t="n"/>
      <c r="D809" s="19">
        <f>IF(COUNTA(C794:C808)=0,"",SUM(D794:D808))</f>
        <v/>
      </c>
      <c r="E809" s="20">
        <f>IF(COUNTA(C794:C808)=0,"",SUMIF(E794:E808,"Cash",D794:D808))</f>
        <v/>
      </c>
      <c r="F809" s="21">
        <f>IF(COUNTA(C794:C808)=0,"",SUMIF(E794:E808,"Transfer Bank",D794:D808))</f>
        <v/>
      </c>
      <c r="G809" s="19">
        <f>IF(COUNTA(C794:C808)=0,"",SUMIF(F794:F808,"Ambil Obat",G794:G808))</f>
        <v/>
      </c>
      <c r="H809" s="20">
        <f>IF(COUNTA(C794:C808)=0,"",SUMIFS(G794:G808,H794:H808,"Cash",F794:F808,"Ambil Obat"))</f>
        <v/>
      </c>
      <c r="I809" s="21">
        <f>IF(COUNTA(C794:C808)=0,"",SUMIFS(G794:G808,H794:H808,"Transfer Bank",F794:F808,"Ambil Obat"))</f>
        <v/>
      </c>
      <c r="J809" s="22" t="n"/>
      <c r="K809" s="23">
        <f>IF(COUNTA(C794:C808)=0,"",D809+G809)</f>
        <v/>
      </c>
    </row>
    <row r="810" ht="24" customHeight="1" s="314">
      <c r="A810" s="249" t="inlineStr">
        <is>
          <t>📅  Minggu, 14 Juni 2026</t>
        </is>
      </c>
      <c r="B810" s="5" t="n"/>
      <c r="C810" s="5" t="n"/>
      <c r="D810" s="5" t="n"/>
      <c r="E810" s="5" t="n"/>
      <c r="F810" s="5" t="n"/>
      <c r="G810" s="5" t="n"/>
      <c r="H810" s="5" t="n"/>
      <c r="I810" s="5" t="n"/>
      <c r="J810" s="4" t="inlineStr">
        <is>
          <t>dr. HAWA</t>
        </is>
      </c>
      <c r="K810" s="5" t="n"/>
    </row>
    <row r="811" ht="21.75" customHeight="1" s="314">
      <c r="A811" s="6">
        <f>IF(C811="","",1111)</f>
        <v/>
      </c>
      <c r="B811" s="7" t="n">
        <v>46187</v>
      </c>
      <c r="C811" s="8" t="n"/>
      <c r="D811" s="9" t="n"/>
      <c r="E811" s="10" t="inlineStr">
        <is>
          <t>▼</t>
        </is>
      </c>
      <c r="F811" s="10" t="inlineStr">
        <is>
          <t>▼</t>
        </is>
      </c>
      <c r="G811" s="9" t="n"/>
      <c r="H811" s="10" t="inlineStr">
        <is>
          <t>▼</t>
        </is>
      </c>
      <c r="I811" s="11">
        <f>IF(C811="","",D811+IF(F811="Ambil Obat",IF(G811="",0,G811),0))</f>
        <v/>
      </c>
      <c r="J811" s="12">
        <f>$J$810</f>
        <v/>
      </c>
      <c r="K811" s="13" t="inlineStr">
        <is>
          <t>▼</t>
        </is>
      </c>
    </row>
    <row r="812" ht="21.75" customHeight="1" s="314">
      <c r="A812" s="32">
        <f>IF(C812="","",1112)</f>
        <v/>
      </c>
      <c r="B812" s="7" t="n">
        <v>46187</v>
      </c>
      <c r="C812" s="14" t="n"/>
      <c r="D812" s="16" t="n"/>
      <c r="E812" s="15" t="inlineStr">
        <is>
          <t>▼</t>
        </is>
      </c>
      <c r="F812" s="15" t="inlineStr">
        <is>
          <t>▼</t>
        </is>
      </c>
      <c r="G812" s="16" t="n"/>
      <c r="H812" s="15" t="inlineStr">
        <is>
          <t>▼</t>
        </is>
      </c>
      <c r="I812" s="17">
        <f>IF(C812="","",D812+IF(F812="Ambil Obat",IF(G812="",0,G812),0))</f>
        <v/>
      </c>
      <c r="J812" s="12">
        <f>$J$810</f>
        <v/>
      </c>
      <c r="K812" s="18" t="inlineStr">
        <is>
          <t>▼</t>
        </is>
      </c>
    </row>
    <row r="813" ht="21.75" customHeight="1" s="314">
      <c r="A813" s="6">
        <f>IF(C813="","",1113)</f>
        <v/>
      </c>
      <c r="B813" s="7" t="n">
        <v>46187</v>
      </c>
      <c r="C813" s="8" t="n"/>
      <c r="D813" s="9" t="n"/>
      <c r="E813" s="10" t="inlineStr">
        <is>
          <t>▼</t>
        </is>
      </c>
      <c r="F813" s="10" t="inlineStr">
        <is>
          <t>▼</t>
        </is>
      </c>
      <c r="G813" s="9" t="n"/>
      <c r="H813" s="10" t="inlineStr">
        <is>
          <t>▼</t>
        </is>
      </c>
      <c r="I813" s="11">
        <f>IF(C813="","",D813+IF(F813="Ambil Obat",IF(G813="",0,G813),0))</f>
        <v/>
      </c>
      <c r="J813" s="12">
        <f>$J$810</f>
        <v/>
      </c>
      <c r="K813" s="13" t="inlineStr">
        <is>
          <t>▼</t>
        </is>
      </c>
    </row>
    <row r="814" ht="21.75" customHeight="1" s="314">
      <c r="A814" s="32">
        <f>IF(C814="","",1114)</f>
        <v/>
      </c>
      <c r="B814" s="7" t="n">
        <v>46187</v>
      </c>
      <c r="C814" s="14" t="n"/>
      <c r="D814" s="16" t="n"/>
      <c r="E814" s="15" t="inlineStr">
        <is>
          <t>▼</t>
        </is>
      </c>
      <c r="F814" s="15" t="inlineStr">
        <is>
          <t>▼</t>
        </is>
      </c>
      <c r="G814" s="16" t="n"/>
      <c r="H814" s="15" t="inlineStr">
        <is>
          <t>▼</t>
        </is>
      </c>
      <c r="I814" s="17">
        <f>IF(C814="","",D814+IF(F814="Ambil Obat",IF(G814="",0,G814),0))</f>
        <v/>
      </c>
      <c r="J814" s="12">
        <f>$J$810</f>
        <v/>
      </c>
      <c r="K814" s="18" t="inlineStr">
        <is>
          <t>▼</t>
        </is>
      </c>
    </row>
    <row r="815" ht="21.75" customHeight="1" s="314">
      <c r="A815" s="6">
        <f>IF(C815="","",1115)</f>
        <v/>
      </c>
      <c r="B815" s="7" t="n">
        <v>46187</v>
      </c>
      <c r="C815" s="8" t="n"/>
      <c r="D815" s="9" t="n"/>
      <c r="E815" s="10" t="inlineStr">
        <is>
          <t>▼</t>
        </is>
      </c>
      <c r="F815" s="10" t="inlineStr">
        <is>
          <t>▼</t>
        </is>
      </c>
      <c r="G815" s="9" t="n"/>
      <c r="H815" s="10" t="inlineStr">
        <is>
          <t>▼</t>
        </is>
      </c>
      <c r="I815" s="11">
        <f>IF(C815="","",D815+IF(F815="Ambil Obat",IF(G815="",0,G815),0))</f>
        <v/>
      </c>
      <c r="J815" s="12">
        <f>$J$810</f>
        <v/>
      </c>
      <c r="K815" s="13" t="inlineStr">
        <is>
          <t>▼</t>
        </is>
      </c>
    </row>
    <row r="816" ht="21.75" customHeight="1" s="314">
      <c r="A816" s="32">
        <f>IF(C816="","",1116)</f>
        <v/>
      </c>
      <c r="B816" s="7" t="n">
        <v>46187</v>
      </c>
      <c r="C816" s="14" t="n"/>
      <c r="D816" s="16" t="n"/>
      <c r="E816" s="15" t="inlineStr">
        <is>
          <t>▼</t>
        </is>
      </c>
      <c r="F816" s="15" t="inlineStr">
        <is>
          <t>▼</t>
        </is>
      </c>
      <c r="G816" s="16" t="n"/>
      <c r="H816" s="15" t="inlineStr">
        <is>
          <t>▼</t>
        </is>
      </c>
      <c r="I816" s="17">
        <f>IF(C816="","",D816+IF(F816="Ambil Obat",IF(G816="",0,G816),0))</f>
        <v/>
      </c>
      <c r="J816" s="12">
        <f>$J$810</f>
        <v/>
      </c>
      <c r="K816" s="18" t="inlineStr">
        <is>
          <t>▼</t>
        </is>
      </c>
    </row>
    <row r="817" ht="21.75" customHeight="1" s="314">
      <c r="A817" s="6">
        <f>IF(C817="","",1117)</f>
        <v/>
      </c>
      <c r="B817" s="7" t="n">
        <v>46187</v>
      </c>
      <c r="C817" s="8" t="n"/>
      <c r="D817" s="9" t="n"/>
      <c r="E817" s="10" t="inlineStr">
        <is>
          <t>▼</t>
        </is>
      </c>
      <c r="F817" s="10" t="inlineStr">
        <is>
          <t>▼</t>
        </is>
      </c>
      <c r="G817" s="9" t="n"/>
      <c r="H817" s="10" t="inlineStr">
        <is>
          <t>▼</t>
        </is>
      </c>
      <c r="I817" s="11">
        <f>IF(C817="","",D817+IF(F817="Ambil Obat",IF(G817="",0,G817),0))</f>
        <v/>
      </c>
      <c r="J817" s="12">
        <f>$J$810</f>
        <v/>
      </c>
      <c r="K817" s="13" t="inlineStr">
        <is>
          <t>▼</t>
        </is>
      </c>
    </row>
    <row r="818" ht="21.75" customHeight="1" s="314">
      <c r="A818" s="32">
        <f>IF(C818="","",1118)</f>
        <v/>
      </c>
      <c r="B818" s="7" t="n">
        <v>46187</v>
      </c>
      <c r="C818" s="14" t="n"/>
      <c r="D818" s="16" t="n"/>
      <c r="E818" s="15" t="inlineStr">
        <is>
          <t>▼</t>
        </is>
      </c>
      <c r="F818" s="15" t="inlineStr">
        <is>
          <t>▼</t>
        </is>
      </c>
      <c r="G818" s="16" t="n"/>
      <c r="H818" s="15" t="inlineStr">
        <is>
          <t>▼</t>
        </is>
      </c>
      <c r="I818" s="17">
        <f>IF(C818="","",D818+IF(F818="Ambil Obat",IF(G818="",0,G818),0))</f>
        <v/>
      </c>
      <c r="J818" s="12">
        <f>$J$810</f>
        <v/>
      </c>
      <c r="K818" s="18" t="inlineStr">
        <is>
          <t>▼</t>
        </is>
      </c>
    </row>
    <row r="819" ht="21.75" customHeight="1" s="314">
      <c r="A819" s="6">
        <f>IF(C819="","",1119)</f>
        <v/>
      </c>
      <c r="B819" s="7" t="n">
        <v>46187</v>
      </c>
      <c r="C819" s="8" t="n"/>
      <c r="D819" s="9" t="n"/>
      <c r="E819" s="10" t="inlineStr">
        <is>
          <t>▼</t>
        </is>
      </c>
      <c r="F819" s="10" t="inlineStr">
        <is>
          <t>▼</t>
        </is>
      </c>
      <c r="G819" s="9" t="n"/>
      <c r="H819" s="10" t="inlineStr">
        <is>
          <t>▼</t>
        </is>
      </c>
      <c r="I819" s="11">
        <f>IF(C819="","",D819+IF(F819="Ambil Obat",IF(G819="",0,G819),0))</f>
        <v/>
      </c>
      <c r="J819" s="12">
        <f>$J$810</f>
        <v/>
      </c>
      <c r="K819" s="13" t="inlineStr">
        <is>
          <t>▼</t>
        </is>
      </c>
    </row>
    <row r="820" ht="21.75" customHeight="1" s="314">
      <c r="A820" s="32">
        <f>IF(C820="","",1120)</f>
        <v/>
      </c>
      <c r="B820" s="7" t="n">
        <v>46187</v>
      </c>
      <c r="C820" s="14" t="n"/>
      <c r="D820" s="16" t="n"/>
      <c r="E820" s="15" t="inlineStr">
        <is>
          <t>▼</t>
        </is>
      </c>
      <c r="F820" s="15" t="inlineStr">
        <is>
          <t>▼</t>
        </is>
      </c>
      <c r="G820" s="16" t="n"/>
      <c r="H820" s="15" t="inlineStr">
        <is>
          <t>▼</t>
        </is>
      </c>
      <c r="I820" s="17">
        <f>IF(C820="","",D820+IF(F820="Ambil Obat",IF(G820="",0,G820),0))</f>
        <v/>
      </c>
      <c r="J820" s="12">
        <f>$J$810</f>
        <v/>
      </c>
      <c r="K820" s="18" t="inlineStr">
        <is>
          <t>▼</t>
        </is>
      </c>
    </row>
    <row r="821" ht="21.75" customHeight="1" s="314">
      <c r="A821" s="6">
        <f>IF(C821="","",1121)</f>
        <v/>
      </c>
      <c r="B821" s="7" t="n">
        <v>46187</v>
      </c>
      <c r="C821" s="8" t="n"/>
      <c r="D821" s="9" t="n"/>
      <c r="E821" s="10" t="inlineStr">
        <is>
          <t>▼</t>
        </is>
      </c>
      <c r="F821" s="10" t="inlineStr">
        <is>
          <t>▼</t>
        </is>
      </c>
      <c r="G821" s="9" t="n"/>
      <c r="H821" s="10" t="inlineStr">
        <is>
          <t>▼</t>
        </is>
      </c>
      <c r="I821" s="11">
        <f>IF(C821="","",D821+IF(F821="Ambil Obat",IF(G821="",0,G821),0))</f>
        <v/>
      </c>
      <c r="J821" s="12">
        <f>$J$810</f>
        <v/>
      </c>
      <c r="K821" s="13" t="inlineStr">
        <is>
          <t>▼</t>
        </is>
      </c>
    </row>
    <row r="822" ht="21.75" customHeight="1" s="314">
      <c r="A822" s="32">
        <f>IF(C822="","",1122)</f>
        <v/>
      </c>
      <c r="B822" s="7" t="n">
        <v>46187</v>
      </c>
      <c r="C822" s="14" t="n"/>
      <c r="D822" s="16" t="n"/>
      <c r="E822" s="15" t="inlineStr">
        <is>
          <t>▼</t>
        </is>
      </c>
      <c r="F822" s="15" t="inlineStr">
        <is>
          <t>▼</t>
        </is>
      </c>
      <c r="G822" s="16" t="n"/>
      <c r="H822" s="15" t="inlineStr">
        <is>
          <t>▼</t>
        </is>
      </c>
      <c r="I822" s="17">
        <f>IF(C822="","",D822+IF(F822="Ambil Obat",IF(G822="",0,G822),0))</f>
        <v/>
      </c>
      <c r="J822" s="12">
        <f>$J$810</f>
        <v/>
      </c>
      <c r="K822" s="18" t="inlineStr">
        <is>
          <t>▼</t>
        </is>
      </c>
    </row>
    <row r="823" ht="21.75" customHeight="1" s="314">
      <c r="A823" s="6">
        <f>IF(C823="","",1123)</f>
        <v/>
      </c>
      <c r="B823" s="7" t="n">
        <v>46187</v>
      </c>
      <c r="C823" s="8" t="n"/>
      <c r="D823" s="9" t="n"/>
      <c r="E823" s="10" t="inlineStr">
        <is>
          <t>▼</t>
        </is>
      </c>
      <c r="F823" s="10" t="inlineStr">
        <is>
          <t>▼</t>
        </is>
      </c>
      <c r="G823" s="9" t="n"/>
      <c r="H823" s="10" t="inlineStr">
        <is>
          <t>▼</t>
        </is>
      </c>
      <c r="I823" s="11">
        <f>IF(C823="","",D823+IF(F823="Ambil Obat",IF(G823="",0,G823),0))</f>
        <v/>
      </c>
      <c r="J823" s="12">
        <f>$J$810</f>
        <v/>
      </c>
      <c r="K823" s="13" t="inlineStr">
        <is>
          <t>▼</t>
        </is>
      </c>
    </row>
    <row r="824" ht="21.75" customHeight="1" s="314">
      <c r="A824" s="32">
        <f>IF(C824="","",1124)</f>
        <v/>
      </c>
      <c r="B824" s="7" t="n">
        <v>46187</v>
      </c>
      <c r="C824" s="14" t="n"/>
      <c r="D824" s="16" t="n"/>
      <c r="E824" s="15" t="inlineStr">
        <is>
          <t>▼</t>
        </is>
      </c>
      <c r="F824" s="15" t="inlineStr">
        <is>
          <t>▼</t>
        </is>
      </c>
      <c r="G824" s="16" t="n"/>
      <c r="H824" s="15" t="inlineStr">
        <is>
          <t>▼</t>
        </is>
      </c>
      <c r="I824" s="17">
        <f>IF(C824="","",D824+IF(F824="Ambil Obat",IF(G824="",0,G824),0))</f>
        <v/>
      </c>
      <c r="J824" s="12">
        <f>$J$810</f>
        <v/>
      </c>
      <c r="K824" s="18" t="inlineStr">
        <is>
          <t>▼</t>
        </is>
      </c>
    </row>
    <row r="825" ht="21.75" customHeight="1" s="314">
      <c r="A825" s="6">
        <f>IF(C825="","",1125)</f>
        <v/>
      </c>
      <c r="B825" s="7" t="n">
        <v>46187</v>
      </c>
      <c r="C825" s="8" t="n"/>
      <c r="D825" s="9" t="n"/>
      <c r="E825" s="10" t="inlineStr">
        <is>
          <t>▼</t>
        </is>
      </c>
      <c r="F825" s="10" t="inlineStr">
        <is>
          <t>▼</t>
        </is>
      </c>
      <c r="G825" s="9" t="n"/>
      <c r="H825" s="10" t="inlineStr">
        <is>
          <t>▼</t>
        </is>
      </c>
      <c r="I825" s="11">
        <f>IF(C825="","",D825+IF(F825="Ambil Obat",IF(G825="",0,G825),0))</f>
        <v/>
      </c>
      <c r="J825" s="12">
        <f>$J$810</f>
        <v/>
      </c>
      <c r="K825" s="13" t="inlineStr">
        <is>
          <t>▼</t>
        </is>
      </c>
    </row>
    <row r="826" ht="24" customHeight="1" s="314">
      <c r="A826" s="248">
        <f>IF(COUNTA(C811:C825)=0,"— belum ada data —","📊 Sub-total  "&amp; TEXT(B811,"DD MMM YYYY") &amp;"  ("&amp;COUNTA(C811:C825)&amp;" pasien)")</f>
        <v/>
      </c>
      <c r="B826" s="316" t="n"/>
      <c r="C826" s="316" t="n"/>
      <c r="D826" s="19">
        <f>IF(COUNTA(C811:C825)=0,"",SUM(D811:D825))</f>
        <v/>
      </c>
      <c r="E826" s="20">
        <f>IF(COUNTA(C811:C825)=0,"",SUMIF(E811:E825,"Cash",D811:D825))</f>
        <v/>
      </c>
      <c r="F826" s="21">
        <f>IF(COUNTA(C811:C825)=0,"",SUMIF(E811:E825,"Transfer Bank",D811:D825))</f>
        <v/>
      </c>
      <c r="G826" s="19">
        <f>IF(COUNTA(C811:C825)=0,"",SUMIF(F811:F825,"Ambil Obat",G811:G825))</f>
        <v/>
      </c>
      <c r="H826" s="20">
        <f>IF(COUNTA(C811:C825)=0,"",SUMIFS(G811:G825,H811:H825,"Cash",F811:F825,"Ambil Obat"))</f>
        <v/>
      </c>
      <c r="I826" s="21">
        <f>IF(COUNTA(C811:C825)=0,"",SUMIFS(G811:G825,H811:H825,"Transfer Bank",F811:F825,"Ambil Obat"))</f>
        <v/>
      </c>
      <c r="J826" s="22" t="n"/>
      <c r="K826" s="23">
        <f>IF(COUNTA(C811:C825)=0,"",D826+G826)</f>
        <v/>
      </c>
    </row>
    <row r="827" ht="24" customHeight="1" s="314">
      <c r="A827" s="249" t="inlineStr">
        <is>
          <t>📅  Senin, 15 Juni 2026</t>
        </is>
      </c>
      <c r="B827" s="5" t="n"/>
      <c r="C827" s="5" t="n"/>
      <c r="D827" s="5" t="n"/>
      <c r="E827" s="5" t="n"/>
      <c r="F827" s="5" t="n"/>
      <c r="G827" s="5" t="n"/>
      <c r="H827" s="5" t="n"/>
      <c r="I827" s="5" t="n"/>
      <c r="J827" s="4" t="inlineStr">
        <is>
          <t>dr. JOJO</t>
        </is>
      </c>
      <c r="K827" s="5" t="n"/>
    </row>
    <row r="828" ht="21.75" customHeight="1" s="314">
      <c r="A828" s="6">
        <f>IF(C828="","",1126)</f>
        <v/>
      </c>
      <c r="B828" s="7" t="n">
        <v>46188</v>
      </c>
      <c r="C828" s="8" t="n"/>
      <c r="D828" s="9" t="n"/>
      <c r="E828" s="10" t="inlineStr">
        <is>
          <t>▼</t>
        </is>
      </c>
      <c r="F828" s="10" t="inlineStr">
        <is>
          <t>▼</t>
        </is>
      </c>
      <c r="G828" s="9" t="n"/>
      <c r="H828" s="10" t="inlineStr">
        <is>
          <t>▼</t>
        </is>
      </c>
      <c r="I828" s="11">
        <f>IF(C828="","",D828+IF(F828="Ambil Obat",IF(G828="",0,G828),0))</f>
        <v/>
      </c>
      <c r="J828" s="12">
        <f>$J$827</f>
        <v/>
      </c>
      <c r="K828" s="13" t="inlineStr">
        <is>
          <t>▼</t>
        </is>
      </c>
    </row>
    <row r="829" ht="21.75" customHeight="1" s="314">
      <c r="A829" s="32">
        <f>IF(C829="","",1127)</f>
        <v/>
      </c>
      <c r="B829" s="7" t="n">
        <v>46188</v>
      </c>
      <c r="C829" s="14" t="n"/>
      <c r="D829" s="16" t="n"/>
      <c r="E829" s="15" t="inlineStr">
        <is>
          <t>▼</t>
        </is>
      </c>
      <c r="F829" s="15" t="inlineStr">
        <is>
          <t>▼</t>
        </is>
      </c>
      <c r="G829" s="16" t="n"/>
      <c r="H829" s="15" t="inlineStr">
        <is>
          <t>▼</t>
        </is>
      </c>
      <c r="I829" s="17">
        <f>IF(C829="","",D829+IF(F829="Ambil Obat",IF(G829="",0,G829),0))</f>
        <v/>
      </c>
      <c r="J829" s="12">
        <f>$J$827</f>
        <v/>
      </c>
      <c r="K829" s="18" t="inlineStr">
        <is>
          <t>▼</t>
        </is>
      </c>
    </row>
    <row r="830" ht="21.75" customHeight="1" s="314">
      <c r="A830" s="6">
        <f>IF(C830="","",1128)</f>
        <v/>
      </c>
      <c r="B830" s="7" t="n">
        <v>46188</v>
      </c>
      <c r="C830" s="8" t="n"/>
      <c r="D830" s="9" t="n"/>
      <c r="E830" s="10" t="inlineStr">
        <is>
          <t>▼</t>
        </is>
      </c>
      <c r="F830" s="10" t="inlineStr">
        <is>
          <t>▼</t>
        </is>
      </c>
      <c r="G830" s="9" t="n"/>
      <c r="H830" s="10" t="inlineStr">
        <is>
          <t>▼</t>
        </is>
      </c>
      <c r="I830" s="11">
        <f>IF(C830="","",D830+IF(F830="Ambil Obat",IF(G830="",0,G830),0))</f>
        <v/>
      </c>
      <c r="J830" s="12">
        <f>$J$827</f>
        <v/>
      </c>
      <c r="K830" s="13" t="inlineStr">
        <is>
          <t>▼</t>
        </is>
      </c>
    </row>
    <row r="831" ht="21.75" customHeight="1" s="314">
      <c r="A831" s="32">
        <f>IF(C831="","",1129)</f>
        <v/>
      </c>
      <c r="B831" s="7" t="n">
        <v>46188</v>
      </c>
      <c r="C831" s="14" t="n"/>
      <c r="D831" s="16" t="n"/>
      <c r="E831" s="15" t="inlineStr">
        <is>
          <t>▼</t>
        </is>
      </c>
      <c r="F831" s="15" t="inlineStr">
        <is>
          <t>▼</t>
        </is>
      </c>
      <c r="G831" s="16" t="n"/>
      <c r="H831" s="15" t="inlineStr">
        <is>
          <t>▼</t>
        </is>
      </c>
      <c r="I831" s="17">
        <f>IF(C831="","",D831+IF(F831="Ambil Obat",IF(G831="",0,G831),0))</f>
        <v/>
      </c>
      <c r="J831" s="12">
        <f>$J$827</f>
        <v/>
      </c>
      <c r="K831" s="18" t="inlineStr">
        <is>
          <t>▼</t>
        </is>
      </c>
    </row>
    <row r="832" ht="21.75" customHeight="1" s="314">
      <c r="A832" s="6">
        <f>IF(C832="","",1130)</f>
        <v/>
      </c>
      <c r="B832" s="7" t="n">
        <v>46188</v>
      </c>
      <c r="C832" s="8" t="n"/>
      <c r="D832" s="9" t="n"/>
      <c r="E832" s="10" t="inlineStr">
        <is>
          <t>▼</t>
        </is>
      </c>
      <c r="F832" s="10" t="inlineStr">
        <is>
          <t>▼</t>
        </is>
      </c>
      <c r="G832" s="9" t="n"/>
      <c r="H832" s="10" t="inlineStr">
        <is>
          <t>▼</t>
        </is>
      </c>
      <c r="I832" s="11">
        <f>IF(C832="","",D832+IF(F832="Ambil Obat",IF(G832="",0,G832),0))</f>
        <v/>
      </c>
      <c r="J832" s="12">
        <f>$J$827</f>
        <v/>
      </c>
      <c r="K832" s="13" t="inlineStr">
        <is>
          <t>▼</t>
        </is>
      </c>
    </row>
    <row r="833" ht="21.75" customHeight="1" s="314">
      <c r="A833" s="32">
        <f>IF(C833="","",1131)</f>
        <v/>
      </c>
      <c r="B833" s="7" t="n">
        <v>46188</v>
      </c>
      <c r="C833" s="14" t="n"/>
      <c r="D833" s="16" t="n"/>
      <c r="E833" s="15" t="inlineStr">
        <is>
          <t>▼</t>
        </is>
      </c>
      <c r="F833" s="15" t="inlineStr">
        <is>
          <t>▼</t>
        </is>
      </c>
      <c r="G833" s="16" t="n"/>
      <c r="H833" s="15" t="inlineStr">
        <is>
          <t>▼</t>
        </is>
      </c>
      <c r="I833" s="17">
        <f>IF(C833="","",D833+IF(F833="Ambil Obat",IF(G833="",0,G833),0))</f>
        <v/>
      </c>
      <c r="J833" s="12">
        <f>$J$827</f>
        <v/>
      </c>
      <c r="K833" s="18" t="inlineStr">
        <is>
          <t>▼</t>
        </is>
      </c>
    </row>
    <row r="834" ht="21.75" customHeight="1" s="314">
      <c r="A834" s="6">
        <f>IF(C834="","",1132)</f>
        <v/>
      </c>
      <c r="B834" s="7" t="n">
        <v>46188</v>
      </c>
      <c r="C834" s="8" t="n"/>
      <c r="D834" s="9" t="n"/>
      <c r="E834" s="10" t="inlineStr">
        <is>
          <t>▼</t>
        </is>
      </c>
      <c r="F834" s="10" t="inlineStr">
        <is>
          <t>▼</t>
        </is>
      </c>
      <c r="G834" s="9" t="n"/>
      <c r="H834" s="10" t="inlineStr">
        <is>
          <t>▼</t>
        </is>
      </c>
      <c r="I834" s="11">
        <f>IF(C834="","",D834+IF(F834="Ambil Obat",IF(G834="",0,G834),0))</f>
        <v/>
      </c>
      <c r="J834" s="12">
        <f>$J$827</f>
        <v/>
      </c>
      <c r="K834" s="13" t="inlineStr">
        <is>
          <t>▼</t>
        </is>
      </c>
    </row>
    <row r="835" ht="21.75" customHeight="1" s="314">
      <c r="A835" s="32">
        <f>IF(C835="","",1133)</f>
        <v/>
      </c>
      <c r="B835" s="7" t="n">
        <v>46188</v>
      </c>
      <c r="C835" s="14" t="n"/>
      <c r="D835" s="16" t="n"/>
      <c r="E835" s="15" t="inlineStr">
        <is>
          <t>▼</t>
        </is>
      </c>
      <c r="F835" s="15" t="inlineStr">
        <is>
          <t>▼</t>
        </is>
      </c>
      <c r="G835" s="16" t="n"/>
      <c r="H835" s="15" t="inlineStr">
        <is>
          <t>▼</t>
        </is>
      </c>
      <c r="I835" s="17">
        <f>IF(C835="","",D835+IF(F835="Ambil Obat",IF(G835="",0,G835),0))</f>
        <v/>
      </c>
      <c r="J835" s="12">
        <f>$J$827</f>
        <v/>
      </c>
      <c r="K835" s="18" t="inlineStr">
        <is>
          <t>▼</t>
        </is>
      </c>
    </row>
    <row r="836" ht="21.75" customHeight="1" s="314">
      <c r="A836" s="6">
        <f>IF(C836="","",1134)</f>
        <v/>
      </c>
      <c r="B836" s="7" t="n">
        <v>46188</v>
      </c>
      <c r="C836" s="8" t="n"/>
      <c r="D836" s="9" t="n"/>
      <c r="E836" s="10" t="inlineStr">
        <is>
          <t>▼</t>
        </is>
      </c>
      <c r="F836" s="10" t="inlineStr">
        <is>
          <t>▼</t>
        </is>
      </c>
      <c r="G836" s="9" t="n"/>
      <c r="H836" s="10" t="inlineStr">
        <is>
          <t>▼</t>
        </is>
      </c>
      <c r="I836" s="11">
        <f>IF(C836="","",D836+IF(F836="Ambil Obat",IF(G836="",0,G836),0))</f>
        <v/>
      </c>
      <c r="J836" s="12">
        <f>$J$827</f>
        <v/>
      </c>
      <c r="K836" s="13" t="inlineStr">
        <is>
          <t>▼</t>
        </is>
      </c>
    </row>
    <row r="837" ht="21.75" customHeight="1" s="314">
      <c r="A837" s="32">
        <f>IF(C837="","",1135)</f>
        <v/>
      </c>
      <c r="B837" s="7" t="n">
        <v>46188</v>
      </c>
      <c r="C837" s="14" t="n"/>
      <c r="D837" s="16" t="n"/>
      <c r="E837" s="15" t="inlineStr">
        <is>
          <t>▼</t>
        </is>
      </c>
      <c r="F837" s="15" t="inlineStr">
        <is>
          <t>▼</t>
        </is>
      </c>
      <c r="G837" s="16" t="n"/>
      <c r="H837" s="15" t="inlineStr">
        <is>
          <t>▼</t>
        </is>
      </c>
      <c r="I837" s="17">
        <f>IF(C837="","",D837+IF(F837="Ambil Obat",IF(G837="",0,G837),0))</f>
        <v/>
      </c>
      <c r="J837" s="12">
        <f>$J$827</f>
        <v/>
      </c>
      <c r="K837" s="18" t="inlineStr">
        <is>
          <t>▼</t>
        </is>
      </c>
    </row>
    <row r="838" ht="21.75" customHeight="1" s="314">
      <c r="A838" s="6">
        <f>IF(C838="","",1136)</f>
        <v/>
      </c>
      <c r="B838" s="7" t="n">
        <v>46188</v>
      </c>
      <c r="C838" s="8" t="n"/>
      <c r="D838" s="9" t="n"/>
      <c r="E838" s="10" t="inlineStr">
        <is>
          <t>▼</t>
        </is>
      </c>
      <c r="F838" s="10" t="inlineStr">
        <is>
          <t>▼</t>
        </is>
      </c>
      <c r="G838" s="9" t="n"/>
      <c r="H838" s="10" t="inlineStr">
        <is>
          <t>▼</t>
        </is>
      </c>
      <c r="I838" s="11">
        <f>IF(C838="","",D838+IF(F838="Ambil Obat",IF(G838="",0,G838),0))</f>
        <v/>
      </c>
      <c r="J838" s="12">
        <f>$J$827</f>
        <v/>
      </c>
      <c r="K838" s="13" t="inlineStr">
        <is>
          <t>▼</t>
        </is>
      </c>
    </row>
    <row r="839" ht="21.75" customHeight="1" s="314">
      <c r="A839" s="32">
        <f>IF(C839="","",1137)</f>
        <v/>
      </c>
      <c r="B839" s="7" t="n">
        <v>46188</v>
      </c>
      <c r="C839" s="14" t="n"/>
      <c r="D839" s="16" t="n"/>
      <c r="E839" s="15" t="inlineStr">
        <is>
          <t>▼</t>
        </is>
      </c>
      <c r="F839" s="15" t="inlineStr">
        <is>
          <t>▼</t>
        </is>
      </c>
      <c r="G839" s="16" t="n"/>
      <c r="H839" s="15" t="inlineStr">
        <is>
          <t>▼</t>
        </is>
      </c>
      <c r="I839" s="17">
        <f>IF(C839="","",D839+IF(F839="Ambil Obat",IF(G839="",0,G839),0))</f>
        <v/>
      </c>
      <c r="J839" s="12">
        <f>$J$827</f>
        <v/>
      </c>
      <c r="K839" s="18" t="inlineStr">
        <is>
          <t>▼</t>
        </is>
      </c>
    </row>
    <row r="840" ht="21.75" customHeight="1" s="314">
      <c r="A840" s="6">
        <f>IF(C840="","",1138)</f>
        <v/>
      </c>
      <c r="B840" s="7" t="n">
        <v>46188</v>
      </c>
      <c r="C840" s="8" t="n"/>
      <c r="D840" s="9" t="n"/>
      <c r="E840" s="10" t="inlineStr">
        <is>
          <t>▼</t>
        </is>
      </c>
      <c r="F840" s="10" t="inlineStr">
        <is>
          <t>▼</t>
        </is>
      </c>
      <c r="G840" s="9" t="n"/>
      <c r="H840" s="10" t="inlineStr">
        <is>
          <t>▼</t>
        </is>
      </c>
      <c r="I840" s="11">
        <f>IF(C840="","",D840+IF(F840="Ambil Obat",IF(G840="",0,G840),0))</f>
        <v/>
      </c>
      <c r="J840" s="12">
        <f>$J$827</f>
        <v/>
      </c>
      <c r="K840" s="13" t="inlineStr">
        <is>
          <t>▼</t>
        </is>
      </c>
    </row>
    <row r="841" ht="21.75" customHeight="1" s="314">
      <c r="A841" s="32">
        <f>IF(C841="","",1139)</f>
        <v/>
      </c>
      <c r="B841" s="7" t="n">
        <v>46188</v>
      </c>
      <c r="C841" s="14" t="n"/>
      <c r="D841" s="16" t="n"/>
      <c r="E841" s="15" t="inlineStr">
        <is>
          <t>▼</t>
        </is>
      </c>
      <c r="F841" s="15" t="inlineStr">
        <is>
          <t>▼</t>
        </is>
      </c>
      <c r="G841" s="16" t="n"/>
      <c r="H841" s="15" t="inlineStr">
        <is>
          <t>▼</t>
        </is>
      </c>
      <c r="I841" s="17">
        <f>IF(C841="","",D841+IF(F841="Ambil Obat",IF(G841="",0,G841),0))</f>
        <v/>
      </c>
      <c r="J841" s="12">
        <f>$J$827</f>
        <v/>
      </c>
      <c r="K841" s="18" t="inlineStr">
        <is>
          <t>▼</t>
        </is>
      </c>
    </row>
    <row r="842" ht="21.75" customHeight="1" s="314">
      <c r="A842" s="6">
        <f>IF(C842="","",1140)</f>
        <v/>
      </c>
      <c r="B842" s="7" t="n">
        <v>46188</v>
      </c>
      <c r="C842" s="8" t="n"/>
      <c r="D842" s="9" t="n"/>
      <c r="E842" s="10" t="inlineStr">
        <is>
          <t>▼</t>
        </is>
      </c>
      <c r="F842" s="10" t="inlineStr">
        <is>
          <t>▼</t>
        </is>
      </c>
      <c r="G842" s="9" t="n"/>
      <c r="H842" s="10" t="inlineStr">
        <is>
          <t>▼</t>
        </is>
      </c>
      <c r="I842" s="11">
        <f>IF(C842="","",D842+IF(F842="Ambil Obat",IF(G842="",0,G842),0))</f>
        <v/>
      </c>
      <c r="J842" s="12">
        <f>$J$827</f>
        <v/>
      </c>
      <c r="K842" s="13" t="inlineStr">
        <is>
          <t>▼</t>
        </is>
      </c>
    </row>
    <row r="843" ht="24" customHeight="1" s="314">
      <c r="A843" s="248">
        <f>IF(COUNTA(C828:C842)=0,"— belum ada data —","📊 Sub-total  "&amp; TEXT(B828,"DD MMM YYYY") &amp;"  ("&amp;COUNTA(C828:C842)&amp;" pasien)")</f>
        <v/>
      </c>
      <c r="B843" s="316" t="n"/>
      <c r="C843" s="316" t="n"/>
      <c r="D843" s="19">
        <f>IF(COUNTA(C828:C842)=0,"",SUM(D828:D842))</f>
        <v/>
      </c>
      <c r="E843" s="20">
        <f>IF(COUNTA(C828:C842)=0,"",SUMIF(E828:E842,"Cash",D828:D842))</f>
        <v/>
      </c>
      <c r="F843" s="21">
        <f>IF(COUNTA(C828:C842)=0,"",SUMIF(E828:E842,"Transfer Bank",D828:D842))</f>
        <v/>
      </c>
      <c r="G843" s="19">
        <f>IF(COUNTA(C828:C842)=0,"",SUMIF(F828:F842,"Ambil Obat",G828:G842))</f>
        <v/>
      </c>
      <c r="H843" s="20">
        <f>IF(COUNTA(C828:C842)=0,"",SUMIFS(G828:G842,H828:H842,"Cash",F828:F842,"Ambil Obat"))</f>
        <v/>
      </c>
      <c r="I843" s="21">
        <f>IF(COUNTA(C828:C842)=0,"",SUMIFS(G828:G842,H828:H842,"Transfer Bank",F828:F842,"Ambil Obat"))</f>
        <v/>
      </c>
      <c r="J843" s="22" t="n"/>
      <c r="K843" s="23">
        <f>IF(COUNTA(C828:C842)=0,"",D843+G843)</f>
        <v/>
      </c>
    </row>
    <row r="844" ht="24" customHeight="1" s="314">
      <c r="A844" s="249" t="inlineStr">
        <is>
          <t>📅  Selasa, 16 Juni 2026</t>
        </is>
      </c>
      <c r="B844" s="5" t="n"/>
      <c r="C844" s="5" t="n"/>
      <c r="D844" s="5" t="n"/>
      <c r="E844" s="5" t="n"/>
      <c r="F844" s="5" t="n"/>
      <c r="G844" s="5" t="n"/>
      <c r="H844" s="5" t="n"/>
      <c r="I844" s="5" t="n"/>
      <c r="J844" s="4" t="inlineStr">
        <is>
          <t>dr. HAWA</t>
        </is>
      </c>
      <c r="K844" s="5" t="n"/>
    </row>
    <row r="845" ht="21.75" customHeight="1" s="314">
      <c r="A845" s="6">
        <f>IF(C845="","",1141)</f>
        <v/>
      </c>
      <c r="B845" s="7" t="n">
        <v>46189</v>
      </c>
      <c r="C845" s="8" t="n"/>
      <c r="D845" s="9" t="n"/>
      <c r="E845" s="10" t="inlineStr">
        <is>
          <t>▼</t>
        </is>
      </c>
      <c r="F845" s="10" t="inlineStr">
        <is>
          <t>▼</t>
        </is>
      </c>
      <c r="G845" s="9" t="n"/>
      <c r="H845" s="10" t="inlineStr">
        <is>
          <t>▼</t>
        </is>
      </c>
      <c r="I845" s="11">
        <f>IF(C845="","",D845+IF(F845="Ambil Obat",IF(G845="",0,G845),0))</f>
        <v/>
      </c>
      <c r="J845" s="12">
        <f>$J$844</f>
        <v/>
      </c>
      <c r="K845" s="13" t="inlineStr">
        <is>
          <t>▼</t>
        </is>
      </c>
    </row>
    <row r="846" ht="21.75" customHeight="1" s="314">
      <c r="A846" s="32">
        <f>IF(C846="","",1142)</f>
        <v/>
      </c>
      <c r="B846" s="7" t="n">
        <v>46189</v>
      </c>
      <c r="C846" s="14" t="n"/>
      <c r="D846" s="16" t="n"/>
      <c r="E846" s="15" t="inlineStr">
        <is>
          <t>▼</t>
        </is>
      </c>
      <c r="F846" s="15" t="inlineStr">
        <is>
          <t>▼</t>
        </is>
      </c>
      <c r="G846" s="16" t="n"/>
      <c r="H846" s="15" t="inlineStr">
        <is>
          <t>▼</t>
        </is>
      </c>
      <c r="I846" s="17">
        <f>IF(C846="","",D846+IF(F846="Ambil Obat",IF(G846="",0,G846),0))</f>
        <v/>
      </c>
      <c r="J846" s="12">
        <f>$J$844</f>
        <v/>
      </c>
      <c r="K846" s="18" t="inlineStr">
        <is>
          <t>▼</t>
        </is>
      </c>
    </row>
    <row r="847" ht="21.75" customHeight="1" s="314">
      <c r="A847" s="6">
        <f>IF(C847="","",1143)</f>
        <v/>
      </c>
      <c r="B847" s="7" t="n">
        <v>46189</v>
      </c>
      <c r="C847" s="8" t="n"/>
      <c r="D847" s="9" t="n"/>
      <c r="E847" s="10" t="inlineStr">
        <is>
          <t>▼</t>
        </is>
      </c>
      <c r="F847" s="10" t="inlineStr">
        <is>
          <t>▼</t>
        </is>
      </c>
      <c r="G847" s="9" t="n"/>
      <c r="H847" s="10" t="inlineStr">
        <is>
          <t>▼</t>
        </is>
      </c>
      <c r="I847" s="11">
        <f>IF(C847="","",D847+IF(F847="Ambil Obat",IF(G847="",0,G847),0))</f>
        <v/>
      </c>
      <c r="J847" s="12">
        <f>$J$844</f>
        <v/>
      </c>
      <c r="K847" s="13" t="inlineStr">
        <is>
          <t>▼</t>
        </is>
      </c>
    </row>
    <row r="848" ht="21.75" customHeight="1" s="314">
      <c r="A848" s="32">
        <f>IF(C848="","",1144)</f>
        <v/>
      </c>
      <c r="B848" s="7" t="n">
        <v>46189</v>
      </c>
      <c r="C848" s="14" t="n"/>
      <c r="D848" s="16" t="n"/>
      <c r="E848" s="15" t="inlineStr">
        <is>
          <t>▼</t>
        </is>
      </c>
      <c r="F848" s="15" t="inlineStr">
        <is>
          <t>▼</t>
        </is>
      </c>
      <c r="G848" s="16" t="n"/>
      <c r="H848" s="15" t="inlineStr">
        <is>
          <t>▼</t>
        </is>
      </c>
      <c r="I848" s="17">
        <f>IF(C848="","",D848+IF(F848="Ambil Obat",IF(G848="",0,G848),0))</f>
        <v/>
      </c>
      <c r="J848" s="12">
        <f>$J$844</f>
        <v/>
      </c>
      <c r="K848" s="18" t="inlineStr">
        <is>
          <t>▼</t>
        </is>
      </c>
    </row>
    <row r="849" ht="21.75" customHeight="1" s="314">
      <c r="A849" s="6">
        <f>IF(C849="","",1145)</f>
        <v/>
      </c>
      <c r="B849" s="7" t="n">
        <v>46189</v>
      </c>
      <c r="C849" s="8" t="n"/>
      <c r="D849" s="9" t="n"/>
      <c r="E849" s="10" t="inlineStr">
        <is>
          <t>▼</t>
        </is>
      </c>
      <c r="F849" s="10" t="inlineStr">
        <is>
          <t>▼</t>
        </is>
      </c>
      <c r="G849" s="9" t="n"/>
      <c r="H849" s="10" t="inlineStr">
        <is>
          <t>▼</t>
        </is>
      </c>
      <c r="I849" s="11">
        <f>IF(C849="","",D849+IF(F849="Ambil Obat",IF(G849="",0,G849),0))</f>
        <v/>
      </c>
      <c r="J849" s="12">
        <f>$J$844</f>
        <v/>
      </c>
      <c r="K849" s="13" t="inlineStr">
        <is>
          <t>▼</t>
        </is>
      </c>
    </row>
    <row r="850" ht="21.75" customHeight="1" s="314">
      <c r="A850" s="32">
        <f>IF(C850="","",1146)</f>
        <v/>
      </c>
      <c r="B850" s="7" t="n">
        <v>46189</v>
      </c>
      <c r="C850" s="14" t="n"/>
      <c r="D850" s="16" t="n"/>
      <c r="E850" s="15" t="inlineStr">
        <is>
          <t>▼</t>
        </is>
      </c>
      <c r="F850" s="15" t="inlineStr">
        <is>
          <t>▼</t>
        </is>
      </c>
      <c r="G850" s="16" t="n"/>
      <c r="H850" s="15" t="inlineStr">
        <is>
          <t>▼</t>
        </is>
      </c>
      <c r="I850" s="17">
        <f>IF(C850="","",D850+IF(F850="Ambil Obat",IF(G850="",0,G850),0))</f>
        <v/>
      </c>
      <c r="J850" s="12">
        <f>$J$844</f>
        <v/>
      </c>
      <c r="K850" s="18" t="inlineStr">
        <is>
          <t>▼</t>
        </is>
      </c>
    </row>
    <row r="851" ht="21.75" customHeight="1" s="314">
      <c r="A851" s="6">
        <f>IF(C851="","",1147)</f>
        <v/>
      </c>
      <c r="B851" s="7" t="n">
        <v>46189</v>
      </c>
      <c r="C851" s="8" t="n"/>
      <c r="D851" s="9" t="n"/>
      <c r="E851" s="10" t="inlineStr">
        <is>
          <t>▼</t>
        </is>
      </c>
      <c r="F851" s="10" t="inlineStr">
        <is>
          <t>▼</t>
        </is>
      </c>
      <c r="G851" s="9" t="n"/>
      <c r="H851" s="10" t="inlineStr">
        <is>
          <t>▼</t>
        </is>
      </c>
      <c r="I851" s="11">
        <f>IF(C851="","",D851+IF(F851="Ambil Obat",IF(G851="",0,G851),0))</f>
        <v/>
      </c>
      <c r="J851" s="12">
        <f>$J$844</f>
        <v/>
      </c>
      <c r="K851" s="13" t="inlineStr">
        <is>
          <t>▼</t>
        </is>
      </c>
    </row>
    <row r="852" ht="21.75" customHeight="1" s="314">
      <c r="A852" s="32">
        <f>IF(C852="","",1148)</f>
        <v/>
      </c>
      <c r="B852" s="7" t="n">
        <v>46189</v>
      </c>
      <c r="C852" s="14" t="n"/>
      <c r="D852" s="16" t="n"/>
      <c r="E852" s="15" t="inlineStr">
        <is>
          <t>▼</t>
        </is>
      </c>
      <c r="F852" s="15" t="inlineStr">
        <is>
          <t>▼</t>
        </is>
      </c>
      <c r="G852" s="16" t="n"/>
      <c r="H852" s="15" t="inlineStr">
        <is>
          <t>▼</t>
        </is>
      </c>
      <c r="I852" s="17">
        <f>IF(C852="","",D852+IF(F852="Ambil Obat",IF(G852="",0,G852),0))</f>
        <v/>
      </c>
      <c r="J852" s="12">
        <f>$J$844</f>
        <v/>
      </c>
      <c r="K852" s="18" t="inlineStr">
        <is>
          <t>▼</t>
        </is>
      </c>
    </row>
    <row r="853" ht="21.75" customHeight="1" s="314">
      <c r="A853" s="6">
        <f>IF(C853="","",1149)</f>
        <v/>
      </c>
      <c r="B853" s="7" t="n">
        <v>46189</v>
      </c>
      <c r="C853" s="8" t="n"/>
      <c r="D853" s="9" t="n"/>
      <c r="E853" s="10" t="inlineStr">
        <is>
          <t>▼</t>
        </is>
      </c>
      <c r="F853" s="10" t="inlineStr">
        <is>
          <t>▼</t>
        </is>
      </c>
      <c r="G853" s="9" t="n"/>
      <c r="H853" s="10" t="inlineStr">
        <is>
          <t>▼</t>
        </is>
      </c>
      <c r="I853" s="11">
        <f>IF(C853="","",D853+IF(F853="Ambil Obat",IF(G853="",0,G853),0))</f>
        <v/>
      </c>
      <c r="J853" s="12">
        <f>$J$844</f>
        <v/>
      </c>
      <c r="K853" s="13" t="inlineStr">
        <is>
          <t>▼</t>
        </is>
      </c>
    </row>
    <row r="854" ht="21.75" customHeight="1" s="314">
      <c r="A854" s="32">
        <f>IF(C854="","",1150)</f>
        <v/>
      </c>
      <c r="B854" s="7" t="n">
        <v>46189</v>
      </c>
      <c r="C854" s="14" t="n"/>
      <c r="D854" s="16" t="n"/>
      <c r="E854" s="15" t="inlineStr">
        <is>
          <t>▼</t>
        </is>
      </c>
      <c r="F854" s="15" t="inlineStr">
        <is>
          <t>▼</t>
        </is>
      </c>
      <c r="G854" s="16" t="n"/>
      <c r="H854" s="15" t="inlineStr">
        <is>
          <t>▼</t>
        </is>
      </c>
      <c r="I854" s="17">
        <f>IF(C854="","",D854+IF(F854="Ambil Obat",IF(G854="",0,G854),0))</f>
        <v/>
      </c>
      <c r="J854" s="12">
        <f>$J$844</f>
        <v/>
      </c>
      <c r="K854" s="18" t="inlineStr">
        <is>
          <t>▼</t>
        </is>
      </c>
    </row>
    <row r="855" ht="21.75" customHeight="1" s="314">
      <c r="A855" s="6">
        <f>IF(C855="","",1151)</f>
        <v/>
      </c>
      <c r="B855" s="7" t="n">
        <v>46189</v>
      </c>
      <c r="C855" s="8" t="n"/>
      <c r="D855" s="9" t="n"/>
      <c r="E855" s="10" t="inlineStr">
        <is>
          <t>▼</t>
        </is>
      </c>
      <c r="F855" s="10" t="inlineStr">
        <is>
          <t>▼</t>
        </is>
      </c>
      <c r="G855" s="9" t="n"/>
      <c r="H855" s="10" t="inlineStr">
        <is>
          <t>▼</t>
        </is>
      </c>
      <c r="I855" s="11">
        <f>IF(C855="","",D855+IF(F855="Ambil Obat",IF(G855="",0,G855),0))</f>
        <v/>
      </c>
      <c r="J855" s="12">
        <f>$J$844</f>
        <v/>
      </c>
      <c r="K855" s="13" t="inlineStr">
        <is>
          <t>▼</t>
        </is>
      </c>
    </row>
    <row r="856" ht="21.75" customHeight="1" s="314">
      <c r="A856" s="32">
        <f>IF(C856="","",1152)</f>
        <v/>
      </c>
      <c r="B856" s="7" t="n">
        <v>46189</v>
      </c>
      <c r="C856" s="14" t="n"/>
      <c r="D856" s="16" t="n"/>
      <c r="E856" s="15" t="inlineStr">
        <is>
          <t>▼</t>
        </is>
      </c>
      <c r="F856" s="15" t="inlineStr">
        <is>
          <t>▼</t>
        </is>
      </c>
      <c r="G856" s="16" t="n"/>
      <c r="H856" s="15" t="inlineStr">
        <is>
          <t>▼</t>
        </is>
      </c>
      <c r="I856" s="17">
        <f>IF(C856="","",D856+IF(F856="Ambil Obat",IF(G856="",0,G856),0))</f>
        <v/>
      </c>
      <c r="J856" s="12">
        <f>$J$844</f>
        <v/>
      </c>
      <c r="K856" s="18" t="inlineStr">
        <is>
          <t>▼</t>
        </is>
      </c>
    </row>
    <row r="857" ht="21.75" customHeight="1" s="314">
      <c r="A857" s="6">
        <f>IF(C857="","",1153)</f>
        <v/>
      </c>
      <c r="B857" s="7" t="n">
        <v>46189</v>
      </c>
      <c r="C857" s="8" t="n"/>
      <c r="D857" s="9" t="n"/>
      <c r="E857" s="10" t="inlineStr">
        <is>
          <t>▼</t>
        </is>
      </c>
      <c r="F857" s="10" t="inlineStr">
        <is>
          <t>▼</t>
        </is>
      </c>
      <c r="G857" s="9" t="n"/>
      <c r="H857" s="10" t="inlineStr">
        <is>
          <t>▼</t>
        </is>
      </c>
      <c r="I857" s="11">
        <f>IF(C857="","",D857+IF(F857="Ambil Obat",IF(G857="",0,G857),0))</f>
        <v/>
      </c>
      <c r="J857" s="12">
        <f>$J$844</f>
        <v/>
      </c>
      <c r="K857" s="13" t="inlineStr">
        <is>
          <t>▼</t>
        </is>
      </c>
    </row>
    <row r="858" ht="21.75" customHeight="1" s="314">
      <c r="A858" s="32">
        <f>IF(C858="","",1154)</f>
        <v/>
      </c>
      <c r="B858" s="7" t="n">
        <v>46189</v>
      </c>
      <c r="C858" s="14" t="n"/>
      <c r="D858" s="16" t="n"/>
      <c r="E858" s="15" t="inlineStr">
        <is>
          <t>▼</t>
        </is>
      </c>
      <c r="F858" s="15" t="inlineStr">
        <is>
          <t>▼</t>
        </is>
      </c>
      <c r="G858" s="16" t="n"/>
      <c r="H858" s="15" t="inlineStr">
        <is>
          <t>▼</t>
        </is>
      </c>
      <c r="I858" s="17">
        <f>IF(C858="","",D858+IF(F858="Ambil Obat",IF(G858="",0,G858),0))</f>
        <v/>
      </c>
      <c r="J858" s="12">
        <f>$J$844</f>
        <v/>
      </c>
      <c r="K858" s="18" t="inlineStr">
        <is>
          <t>▼</t>
        </is>
      </c>
    </row>
    <row r="859" ht="21.75" customHeight="1" s="314">
      <c r="A859" s="6">
        <f>IF(C859="","",1155)</f>
        <v/>
      </c>
      <c r="B859" s="7" t="n">
        <v>46189</v>
      </c>
      <c r="C859" s="8" t="n"/>
      <c r="D859" s="9" t="n"/>
      <c r="E859" s="10" t="inlineStr">
        <is>
          <t>▼</t>
        </is>
      </c>
      <c r="F859" s="10" t="inlineStr">
        <is>
          <t>▼</t>
        </is>
      </c>
      <c r="G859" s="9" t="n"/>
      <c r="H859" s="10" t="inlineStr">
        <is>
          <t>▼</t>
        </is>
      </c>
      <c r="I859" s="11">
        <f>IF(C859="","",D859+IF(F859="Ambil Obat",IF(G859="",0,G859),0))</f>
        <v/>
      </c>
      <c r="J859" s="12">
        <f>$J$844</f>
        <v/>
      </c>
      <c r="K859" s="13" t="inlineStr">
        <is>
          <t>▼</t>
        </is>
      </c>
    </row>
    <row r="860" ht="24" customHeight="1" s="314">
      <c r="A860" s="248">
        <f>IF(COUNTA(C845:C859)=0,"— belum ada data —","📊 Sub-total  "&amp; TEXT(B845,"DD MMM YYYY") &amp;"  ("&amp;COUNTA(C845:C859)&amp;" pasien)")</f>
        <v/>
      </c>
      <c r="B860" s="316" t="n"/>
      <c r="C860" s="316" t="n"/>
      <c r="D860" s="19">
        <f>IF(COUNTA(C845:C859)=0,"",SUM(D845:D859))</f>
        <v/>
      </c>
      <c r="E860" s="20">
        <f>IF(COUNTA(C845:C859)=0,"",SUMIF(E845:E859,"Cash",D845:D859))</f>
        <v/>
      </c>
      <c r="F860" s="21">
        <f>IF(COUNTA(C845:C859)=0,"",SUMIF(E845:E859,"Transfer Bank",D845:D859))</f>
        <v/>
      </c>
      <c r="G860" s="19">
        <f>IF(COUNTA(C845:C859)=0,"",SUMIF(F845:F859,"Ambil Obat",G845:G859))</f>
        <v/>
      </c>
      <c r="H860" s="20">
        <f>IF(COUNTA(C845:C859)=0,"",SUMIFS(G845:G859,H845:H859,"Cash",F845:F859,"Ambil Obat"))</f>
        <v/>
      </c>
      <c r="I860" s="21">
        <f>IF(COUNTA(C845:C859)=0,"",SUMIFS(G845:G859,H845:H859,"Transfer Bank",F845:F859,"Ambil Obat"))</f>
        <v/>
      </c>
      <c r="J860" s="22" t="n"/>
      <c r="K860" s="23">
        <f>IF(COUNTA(C845:C859)=0,"",D860+G860)</f>
        <v/>
      </c>
    </row>
    <row r="861" ht="24" customHeight="1" s="314">
      <c r="A861" s="249" t="inlineStr">
        <is>
          <t>📅  Rabu, 17 Juni 2026</t>
        </is>
      </c>
      <c r="B861" s="5" t="n"/>
      <c r="C861" s="5" t="n"/>
      <c r="D861" s="5" t="n"/>
      <c r="E861" s="5" t="n"/>
      <c r="F861" s="5" t="n"/>
      <c r="G861" s="5" t="n"/>
      <c r="H861" s="5" t="n"/>
      <c r="I861" s="5" t="n"/>
      <c r="J861" s="4" t="inlineStr">
        <is>
          <t>dr. ARIF</t>
        </is>
      </c>
      <c r="K861" s="5" t="n"/>
    </row>
    <row r="862" ht="21.75" customHeight="1" s="314">
      <c r="A862" s="6">
        <f>IF(C862="","",1156)</f>
        <v/>
      </c>
      <c r="B862" s="7" t="n">
        <v>46190</v>
      </c>
      <c r="C862" s="8" t="n"/>
      <c r="D862" s="9" t="n"/>
      <c r="E862" s="10" t="inlineStr">
        <is>
          <t>▼</t>
        </is>
      </c>
      <c r="F862" s="10" t="inlineStr">
        <is>
          <t>▼</t>
        </is>
      </c>
      <c r="G862" s="9" t="n"/>
      <c r="H862" s="10" t="inlineStr">
        <is>
          <t>▼</t>
        </is>
      </c>
      <c r="I862" s="11">
        <f>IF(C862="","",D862+IF(F862="Ambil Obat",IF(G862="",0,G862),0))</f>
        <v/>
      </c>
      <c r="J862" s="12">
        <f>$J$861</f>
        <v/>
      </c>
      <c r="K862" s="13" t="inlineStr">
        <is>
          <t>▼</t>
        </is>
      </c>
    </row>
    <row r="863" ht="21.75" customHeight="1" s="314">
      <c r="A863" s="32">
        <f>IF(C863="","",1157)</f>
        <v/>
      </c>
      <c r="B863" s="7" t="n">
        <v>46190</v>
      </c>
      <c r="C863" s="14" t="n"/>
      <c r="D863" s="16" t="n"/>
      <c r="E863" s="15" t="inlineStr">
        <is>
          <t>▼</t>
        </is>
      </c>
      <c r="F863" s="15" t="inlineStr">
        <is>
          <t>▼</t>
        </is>
      </c>
      <c r="G863" s="16" t="n"/>
      <c r="H863" s="15" t="inlineStr">
        <is>
          <t>▼</t>
        </is>
      </c>
      <c r="I863" s="17">
        <f>IF(C863="","",D863+IF(F863="Ambil Obat",IF(G863="",0,G863),0))</f>
        <v/>
      </c>
      <c r="J863" s="12">
        <f>$J$861</f>
        <v/>
      </c>
      <c r="K863" s="18" t="inlineStr">
        <is>
          <t>▼</t>
        </is>
      </c>
    </row>
    <row r="864" ht="21.75" customHeight="1" s="314">
      <c r="A864" s="6">
        <f>IF(C864="","",1158)</f>
        <v/>
      </c>
      <c r="B864" s="7" t="n">
        <v>46190</v>
      </c>
      <c r="C864" s="8" t="n"/>
      <c r="D864" s="9" t="n"/>
      <c r="E864" s="10" t="inlineStr">
        <is>
          <t>▼</t>
        </is>
      </c>
      <c r="F864" s="10" t="inlineStr">
        <is>
          <t>▼</t>
        </is>
      </c>
      <c r="G864" s="9" t="n"/>
      <c r="H864" s="10" t="inlineStr">
        <is>
          <t>▼</t>
        </is>
      </c>
      <c r="I864" s="11">
        <f>IF(C864="","",D864+IF(F864="Ambil Obat",IF(G864="",0,G864),0))</f>
        <v/>
      </c>
      <c r="J864" s="12">
        <f>$J$861</f>
        <v/>
      </c>
      <c r="K864" s="13" t="inlineStr">
        <is>
          <t>▼</t>
        </is>
      </c>
    </row>
    <row r="865" ht="21.75" customHeight="1" s="314">
      <c r="A865" s="32">
        <f>IF(C865="","",1159)</f>
        <v/>
      </c>
      <c r="B865" s="7" t="n">
        <v>46190</v>
      </c>
      <c r="C865" s="14" t="n"/>
      <c r="D865" s="16" t="n"/>
      <c r="E865" s="15" t="inlineStr">
        <is>
          <t>▼</t>
        </is>
      </c>
      <c r="F865" s="15" t="inlineStr">
        <is>
          <t>▼</t>
        </is>
      </c>
      <c r="G865" s="16" t="n"/>
      <c r="H865" s="15" t="inlineStr">
        <is>
          <t>▼</t>
        </is>
      </c>
      <c r="I865" s="17">
        <f>IF(C865="","",D865+IF(F865="Ambil Obat",IF(G865="",0,G865),0))</f>
        <v/>
      </c>
      <c r="J865" s="12">
        <f>$J$861</f>
        <v/>
      </c>
      <c r="K865" s="18" t="inlineStr">
        <is>
          <t>▼</t>
        </is>
      </c>
    </row>
    <row r="866" ht="21.75" customHeight="1" s="314">
      <c r="A866" s="6">
        <f>IF(C866="","",1160)</f>
        <v/>
      </c>
      <c r="B866" s="7" t="n">
        <v>46190</v>
      </c>
      <c r="C866" s="8" t="n"/>
      <c r="D866" s="9" t="n"/>
      <c r="E866" s="10" t="inlineStr">
        <is>
          <t>▼</t>
        </is>
      </c>
      <c r="F866" s="10" t="inlineStr">
        <is>
          <t>▼</t>
        </is>
      </c>
      <c r="G866" s="9" t="n"/>
      <c r="H866" s="10" t="inlineStr">
        <is>
          <t>▼</t>
        </is>
      </c>
      <c r="I866" s="11">
        <f>IF(C866="","",D866+IF(F866="Ambil Obat",IF(G866="",0,G866),0))</f>
        <v/>
      </c>
      <c r="J866" s="12">
        <f>$J$861</f>
        <v/>
      </c>
      <c r="K866" s="13" t="inlineStr">
        <is>
          <t>▼</t>
        </is>
      </c>
    </row>
    <row r="867" ht="21.75" customHeight="1" s="314">
      <c r="A867" s="32">
        <f>IF(C867="","",1161)</f>
        <v/>
      </c>
      <c r="B867" s="7" t="n">
        <v>46190</v>
      </c>
      <c r="C867" s="14" t="n"/>
      <c r="D867" s="16" t="n"/>
      <c r="E867" s="15" t="inlineStr">
        <is>
          <t>▼</t>
        </is>
      </c>
      <c r="F867" s="15" t="inlineStr">
        <is>
          <t>▼</t>
        </is>
      </c>
      <c r="G867" s="16" t="n"/>
      <c r="H867" s="15" t="inlineStr">
        <is>
          <t>▼</t>
        </is>
      </c>
      <c r="I867" s="17">
        <f>IF(C867="","",D867+IF(F867="Ambil Obat",IF(G867="",0,G867),0))</f>
        <v/>
      </c>
      <c r="J867" s="12">
        <f>$J$861</f>
        <v/>
      </c>
      <c r="K867" s="18" t="inlineStr">
        <is>
          <t>▼</t>
        </is>
      </c>
    </row>
    <row r="868" ht="21.75" customHeight="1" s="314">
      <c r="A868" s="6">
        <f>IF(C868="","",1162)</f>
        <v/>
      </c>
      <c r="B868" s="7" t="n">
        <v>46190</v>
      </c>
      <c r="C868" s="8" t="n"/>
      <c r="D868" s="9" t="n"/>
      <c r="E868" s="10" t="inlineStr">
        <is>
          <t>▼</t>
        </is>
      </c>
      <c r="F868" s="10" t="inlineStr">
        <is>
          <t>▼</t>
        </is>
      </c>
      <c r="G868" s="9" t="n"/>
      <c r="H868" s="10" t="inlineStr">
        <is>
          <t>▼</t>
        </is>
      </c>
      <c r="I868" s="11">
        <f>IF(C868="","",D868+IF(F868="Ambil Obat",IF(G868="",0,G868),0))</f>
        <v/>
      </c>
      <c r="J868" s="12">
        <f>$J$861</f>
        <v/>
      </c>
      <c r="K868" s="13" t="inlineStr">
        <is>
          <t>▼</t>
        </is>
      </c>
    </row>
    <row r="869" ht="21.75" customHeight="1" s="314">
      <c r="A869" s="32">
        <f>IF(C869="","",1163)</f>
        <v/>
      </c>
      <c r="B869" s="7" t="n">
        <v>46190</v>
      </c>
      <c r="C869" s="14" t="n"/>
      <c r="D869" s="16" t="n"/>
      <c r="E869" s="15" t="inlineStr">
        <is>
          <t>▼</t>
        </is>
      </c>
      <c r="F869" s="15" t="inlineStr">
        <is>
          <t>▼</t>
        </is>
      </c>
      <c r="G869" s="16" t="n"/>
      <c r="H869" s="15" t="inlineStr">
        <is>
          <t>▼</t>
        </is>
      </c>
      <c r="I869" s="17">
        <f>IF(C869="","",D869+IF(F869="Ambil Obat",IF(G869="",0,G869),0))</f>
        <v/>
      </c>
      <c r="J869" s="12">
        <f>$J$861</f>
        <v/>
      </c>
      <c r="K869" s="18" t="inlineStr">
        <is>
          <t>▼</t>
        </is>
      </c>
    </row>
    <row r="870" ht="21.75" customHeight="1" s="314">
      <c r="A870" s="6">
        <f>IF(C870="","",1164)</f>
        <v/>
      </c>
      <c r="B870" s="7" t="n">
        <v>46190</v>
      </c>
      <c r="C870" s="8" t="n"/>
      <c r="D870" s="9" t="n"/>
      <c r="E870" s="10" t="inlineStr">
        <is>
          <t>▼</t>
        </is>
      </c>
      <c r="F870" s="10" t="inlineStr">
        <is>
          <t>▼</t>
        </is>
      </c>
      <c r="G870" s="9" t="n"/>
      <c r="H870" s="10" t="inlineStr">
        <is>
          <t>▼</t>
        </is>
      </c>
      <c r="I870" s="11">
        <f>IF(C870="","",D870+IF(F870="Ambil Obat",IF(G870="",0,G870),0))</f>
        <v/>
      </c>
      <c r="J870" s="12">
        <f>$J$861</f>
        <v/>
      </c>
      <c r="K870" s="13" t="inlineStr">
        <is>
          <t>▼</t>
        </is>
      </c>
    </row>
    <row r="871" ht="21.75" customHeight="1" s="314">
      <c r="A871" s="32">
        <f>IF(C871="","",1165)</f>
        <v/>
      </c>
      <c r="B871" s="7" t="n">
        <v>46190</v>
      </c>
      <c r="C871" s="14" t="n"/>
      <c r="D871" s="16" t="n"/>
      <c r="E871" s="15" t="inlineStr">
        <is>
          <t>▼</t>
        </is>
      </c>
      <c r="F871" s="15" t="inlineStr">
        <is>
          <t>▼</t>
        </is>
      </c>
      <c r="G871" s="16" t="n"/>
      <c r="H871" s="15" t="inlineStr">
        <is>
          <t>▼</t>
        </is>
      </c>
      <c r="I871" s="17">
        <f>IF(C871="","",D871+IF(F871="Ambil Obat",IF(G871="",0,G871),0))</f>
        <v/>
      </c>
      <c r="J871" s="12">
        <f>$J$861</f>
        <v/>
      </c>
      <c r="K871" s="18" t="inlineStr">
        <is>
          <t>▼</t>
        </is>
      </c>
    </row>
    <row r="872" ht="21.75" customHeight="1" s="314">
      <c r="A872" s="6">
        <f>IF(C872="","",1166)</f>
        <v/>
      </c>
      <c r="B872" s="7" t="n">
        <v>46190</v>
      </c>
      <c r="C872" s="8" t="n"/>
      <c r="D872" s="9" t="n"/>
      <c r="E872" s="10" t="inlineStr">
        <is>
          <t>▼</t>
        </is>
      </c>
      <c r="F872" s="10" t="inlineStr">
        <is>
          <t>▼</t>
        </is>
      </c>
      <c r="G872" s="9" t="n"/>
      <c r="H872" s="10" t="inlineStr">
        <is>
          <t>▼</t>
        </is>
      </c>
      <c r="I872" s="11">
        <f>IF(C872="","",D872+IF(F872="Ambil Obat",IF(G872="",0,G872),0))</f>
        <v/>
      </c>
      <c r="J872" s="12">
        <f>$J$861</f>
        <v/>
      </c>
      <c r="K872" s="13" t="inlineStr">
        <is>
          <t>▼</t>
        </is>
      </c>
    </row>
    <row r="873" ht="21.75" customHeight="1" s="314">
      <c r="A873" s="32">
        <f>IF(C873="","",1167)</f>
        <v/>
      </c>
      <c r="B873" s="7" t="n">
        <v>46190</v>
      </c>
      <c r="C873" s="14" t="n"/>
      <c r="D873" s="16" t="n"/>
      <c r="E873" s="15" t="inlineStr">
        <is>
          <t>▼</t>
        </is>
      </c>
      <c r="F873" s="15" t="inlineStr">
        <is>
          <t>▼</t>
        </is>
      </c>
      <c r="G873" s="16" t="n"/>
      <c r="H873" s="15" t="inlineStr">
        <is>
          <t>▼</t>
        </is>
      </c>
      <c r="I873" s="17">
        <f>IF(C873="","",D873+IF(F873="Ambil Obat",IF(G873="",0,G873),0))</f>
        <v/>
      </c>
      <c r="J873" s="12">
        <f>$J$861</f>
        <v/>
      </c>
      <c r="K873" s="18" t="inlineStr">
        <is>
          <t>▼</t>
        </is>
      </c>
    </row>
    <row r="874" ht="21.75" customHeight="1" s="314">
      <c r="A874" s="6">
        <f>IF(C874="","",1168)</f>
        <v/>
      </c>
      <c r="B874" s="7" t="n">
        <v>46190</v>
      </c>
      <c r="C874" s="8" t="n"/>
      <c r="D874" s="9" t="n"/>
      <c r="E874" s="10" t="inlineStr">
        <is>
          <t>▼</t>
        </is>
      </c>
      <c r="F874" s="10" t="inlineStr">
        <is>
          <t>▼</t>
        </is>
      </c>
      <c r="G874" s="9" t="n"/>
      <c r="H874" s="10" t="inlineStr">
        <is>
          <t>▼</t>
        </is>
      </c>
      <c r="I874" s="11">
        <f>IF(C874="","",D874+IF(F874="Ambil Obat",IF(G874="",0,G874),0))</f>
        <v/>
      </c>
      <c r="J874" s="12">
        <f>$J$861</f>
        <v/>
      </c>
      <c r="K874" s="13" t="inlineStr">
        <is>
          <t>▼</t>
        </is>
      </c>
    </row>
    <row r="875" ht="21.75" customHeight="1" s="314">
      <c r="A875" s="32">
        <f>IF(C875="","",1169)</f>
        <v/>
      </c>
      <c r="B875" s="7" t="n">
        <v>46190</v>
      </c>
      <c r="C875" s="14" t="n"/>
      <c r="D875" s="16" t="n"/>
      <c r="E875" s="15" t="inlineStr">
        <is>
          <t>▼</t>
        </is>
      </c>
      <c r="F875" s="15" t="inlineStr">
        <is>
          <t>▼</t>
        </is>
      </c>
      <c r="G875" s="16" t="n"/>
      <c r="H875" s="15" t="inlineStr">
        <is>
          <t>▼</t>
        </is>
      </c>
      <c r="I875" s="17">
        <f>IF(C875="","",D875+IF(F875="Ambil Obat",IF(G875="",0,G875),0))</f>
        <v/>
      </c>
      <c r="J875" s="12">
        <f>$J$861</f>
        <v/>
      </c>
      <c r="K875" s="18" t="inlineStr">
        <is>
          <t>▼</t>
        </is>
      </c>
    </row>
    <row r="876" ht="21.75" customHeight="1" s="314">
      <c r="A876" s="6">
        <f>IF(C876="","",1170)</f>
        <v/>
      </c>
      <c r="B876" s="7" t="n">
        <v>46190</v>
      </c>
      <c r="C876" s="8" t="n"/>
      <c r="D876" s="9" t="n"/>
      <c r="E876" s="10" t="inlineStr">
        <is>
          <t>▼</t>
        </is>
      </c>
      <c r="F876" s="10" t="inlineStr">
        <is>
          <t>▼</t>
        </is>
      </c>
      <c r="G876" s="9" t="n"/>
      <c r="H876" s="10" t="inlineStr">
        <is>
          <t>▼</t>
        </is>
      </c>
      <c r="I876" s="11">
        <f>IF(C876="","",D876+IF(F876="Ambil Obat",IF(G876="",0,G876),0))</f>
        <v/>
      </c>
      <c r="J876" s="12">
        <f>$J$861</f>
        <v/>
      </c>
      <c r="K876" s="13" t="inlineStr">
        <is>
          <t>▼</t>
        </is>
      </c>
    </row>
    <row r="877" ht="24" customHeight="1" s="314">
      <c r="A877" s="248">
        <f>IF(COUNTA(C862:C876)=0,"— belum ada data —","📊 Sub-total  "&amp; TEXT(B862,"DD MMM YYYY") &amp;"  ("&amp;COUNTA(C862:C876)&amp;" pasien)")</f>
        <v/>
      </c>
      <c r="B877" s="316" t="n"/>
      <c r="C877" s="316" t="n"/>
      <c r="D877" s="19">
        <f>IF(COUNTA(C862:C876)=0,"",SUM(D862:D876))</f>
        <v/>
      </c>
      <c r="E877" s="20">
        <f>IF(COUNTA(C862:C876)=0,"",SUMIF(E862:E876,"Cash",D862:D876))</f>
        <v/>
      </c>
      <c r="F877" s="21">
        <f>IF(COUNTA(C862:C876)=0,"",SUMIF(E862:E876,"Transfer Bank",D862:D876))</f>
        <v/>
      </c>
      <c r="G877" s="19">
        <f>IF(COUNTA(C862:C876)=0,"",SUMIF(F862:F876,"Ambil Obat",G862:G876))</f>
        <v/>
      </c>
      <c r="H877" s="20">
        <f>IF(COUNTA(C862:C876)=0,"",SUMIFS(G862:G876,H862:H876,"Cash",F862:F876,"Ambil Obat"))</f>
        <v/>
      </c>
      <c r="I877" s="21">
        <f>IF(COUNTA(C862:C876)=0,"",SUMIFS(G862:G876,H862:H876,"Transfer Bank",F862:F876,"Ambil Obat"))</f>
        <v/>
      </c>
      <c r="J877" s="22" t="n"/>
      <c r="K877" s="23">
        <f>IF(COUNTA(C862:C876)=0,"",D877+G877)</f>
        <v/>
      </c>
    </row>
    <row r="878" ht="24" customHeight="1" s="314">
      <c r="A878" s="249" t="inlineStr">
        <is>
          <t>📅  Kamis, 18 Juni 2026</t>
        </is>
      </c>
      <c r="B878" s="5" t="n"/>
      <c r="C878" s="5" t="n"/>
      <c r="D878" s="5" t="n"/>
      <c r="E878" s="5" t="n"/>
      <c r="F878" s="5" t="n"/>
      <c r="G878" s="5" t="n"/>
      <c r="H878" s="5" t="n"/>
      <c r="I878" s="5" t="n"/>
      <c r="J878" s="4" t="inlineStr">
        <is>
          <t>dr. ARIF</t>
        </is>
      </c>
      <c r="K878" s="5" t="n"/>
    </row>
    <row r="879" ht="21.75" customHeight="1" s="314">
      <c r="A879" s="6">
        <f>IF(C879="","",1171)</f>
        <v/>
      </c>
      <c r="B879" s="7" t="n">
        <v>46191</v>
      </c>
      <c r="C879" s="8" t="n"/>
      <c r="D879" s="9" t="n"/>
      <c r="E879" s="10" t="inlineStr">
        <is>
          <t>▼</t>
        </is>
      </c>
      <c r="F879" s="10" t="inlineStr">
        <is>
          <t>▼</t>
        </is>
      </c>
      <c r="G879" s="9" t="n"/>
      <c r="H879" s="10" t="inlineStr">
        <is>
          <t>▼</t>
        </is>
      </c>
      <c r="I879" s="11">
        <f>IF(C879="","",D879+IF(F879="Ambil Obat",IF(G879="",0,G879),0))</f>
        <v/>
      </c>
      <c r="J879" s="12">
        <f>$J$878</f>
        <v/>
      </c>
      <c r="K879" s="13" t="inlineStr">
        <is>
          <t>▼</t>
        </is>
      </c>
    </row>
    <row r="880" ht="21.75" customHeight="1" s="314">
      <c r="A880" s="32">
        <f>IF(C880="","",1172)</f>
        <v/>
      </c>
      <c r="B880" s="7" t="n">
        <v>46191</v>
      </c>
      <c r="C880" s="14" t="n"/>
      <c r="D880" s="16" t="n"/>
      <c r="E880" s="15" t="inlineStr">
        <is>
          <t>▼</t>
        </is>
      </c>
      <c r="F880" s="15" t="inlineStr">
        <is>
          <t>▼</t>
        </is>
      </c>
      <c r="G880" s="16" t="n"/>
      <c r="H880" s="15" t="inlineStr">
        <is>
          <t>▼</t>
        </is>
      </c>
      <c r="I880" s="17">
        <f>IF(C880="","",D880+IF(F880="Ambil Obat",IF(G880="",0,G880),0))</f>
        <v/>
      </c>
      <c r="J880" s="12">
        <f>$J$878</f>
        <v/>
      </c>
      <c r="K880" s="18" t="inlineStr">
        <is>
          <t>▼</t>
        </is>
      </c>
    </row>
    <row r="881" ht="21.75" customHeight="1" s="314">
      <c r="A881" s="6">
        <f>IF(C881="","",1173)</f>
        <v/>
      </c>
      <c r="B881" s="7" t="n">
        <v>46191</v>
      </c>
      <c r="C881" s="8" t="n"/>
      <c r="D881" s="9" t="n"/>
      <c r="E881" s="10" t="inlineStr">
        <is>
          <t>▼</t>
        </is>
      </c>
      <c r="F881" s="10" t="inlineStr">
        <is>
          <t>▼</t>
        </is>
      </c>
      <c r="G881" s="9" t="n"/>
      <c r="H881" s="10" t="inlineStr">
        <is>
          <t>▼</t>
        </is>
      </c>
      <c r="I881" s="11">
        <f>IF(C881="","",D881+IF(F881="Ambil Obat",IF(G881="",0,G881),0))</f>
        <v/>
      </c>
      <c r="J881" s="12">
        <f>$J$878</f>
        <v/>
      </c>
      <c r="K881" s="13" t="inlineStr">
        <is>
          <t>▼</t>
        </is>
      </c>
    </row>
    <row r="882" ht="21.75" customHeight="1" s="314">
      <c r="A882" s="32">
        <f>IF(C882="","",1174)</f>
        <v/>
      </c>
      <c r="B882" s="7" t="n">
        <v>46191</v>
      </c>
      <c r="C882" s="14" t="n"/>
      <c r="D882" s="16" t="n"/>
      <c r="E882" s="15" t="inlineStr">
        <is>
          <t>▼</t>
        </is>
      </c>
      <c r="F882" s="15" t="inlineStr">
        <is>
          <t>▼</t>
        </is>
      </c>
      <c r="G882" s="16" t="n"/>
      <c r="H882" s="15" t="inlineStr">
        <is>
          <t>▼</t>
        </is>
      </c>
      <c r="I882" s="17">
        <f>IF(C882="","",D882+IF(F882="Ambil Obat",IF(G882="",0,G882),0))</f>
        <v/>
      </c>
      <c r="J882" s="12">
        <f>$J$878</f>
        <v/>
      </c>
      <c r="K882" s="18" t="inlineStr">
        <is>
          <t>▼</t>
        </is>
      </c>
    </row>
    <row r="883" ht="21.75" customHeight="1" s="314">
      <c r="A883" s="6">
        <f>IF(C883="","",1175)</f>
        <v/>
      </c>
      <c r="B883" s="7" t="n">
        <v>46191</v>
      </c>
      <c r="C883" s="8" t="n"/>
      <c r="D883" s="9" t="n"/>
      <c r="E883" s="10" t="inlineStr">
        <is>
          <t>▼</t>
        </is>
      </c>
      <c r="F883" s="10" t="inlineStr">
        <is>
          <t>▼</t>
        </is>
      </c>
      <c r="G883" s="9" t="n"/>
      <c r="H883" s="10" t="inlineStr">
        <is>
          <t>▼</t>
        </is>
      </c>
      <c r="I883" s="11">
        <f>IF(C883="","",D883+IF(F883="Ambil Obat",IF(G883="",0,G883),0))</f>
        <v/>
      </c>
      <c r="J883" s="12">
        <f>$J$878</f>
        <v/>
      </c>
      <c r="K883" s="13" t="inlineStr">
        <is>
          <t>▼</t>
        </is>
      </c>
    </row>
    <row r="884" ht="21.75" customHeight="1" s="314">
      <c r="A884" s="32">
        <f>IF(C884="","",1176)</f>
        <v/>
      </c>
      <c r="B884" s="7" t="n">
        <v>46191</v>
      </c>
      <c r="C884" s="14" t="n"/>
      <c r="D884" s="16" t="n"/>
      <c r="E884" s="15" t="inlineStr">
        <is>
          <t>▼</t>
        </is>
      </c>
      <c r="F884" s="15" t="inlineStr">
        <is>
          <t>▼</t>
        </is>
      </c>
      <c r="G884" s="16" t="n"/>
      <c r="H884" s="15" t="inlineStr">
        <is>
          <t>▼</t>
        </is>
      </c>
      <c r="I884" s="17">
        <f>IF(C884="","",D884+IF(F884="Ambil Obat",IF(G884="",0,G884),0))</f>
        <v/>
      </c>
      <c r="J884" s="12">
        <f>$J$878</f>
        <v/>
      </c>
      <c r="K884" s="18" t="inlineStr">
        <is>
          <t>▼</t>
        </is>
      </c>
    </row>
    <row r="885" ht="21.75" customHeight="1" s="314">
      <c r="A885" s="6">
        <f>IF(C885="","",1177)</f>
        <v/>
      </c>
      <c r="B885" s="7" t="n">
        <v>46191</v>
      </c>
      <c r="C885" s="8" t="n"/>
      <c r="D885" s="9" t="n"/>
      <c r="E885" s="10" t="inlineStr">
        <is>
          <t>▼</t>
        </is>
      </c>
      <c r="F885" s="10" t="inlineStr">
        <is>
          <t>▼</t>
        </is>
      </c>
      <c r="G885" s="9" t="n"/>
      <c r="H885" s="10" t="inlineStr">
        <is>
          <t>▼</t>
        </is>
      </c>
      <c r="I885" s="11">
        <f>IF(C885="","",D885+IF(F885="Ambil Obat",IF(G885="",0,G885),0))</f>
        <v/>
      </c>
      <c r="J885" s="12">
        <f>$J$878</f>
        <v/>
      </c>
      <c r="K885" s="13" t="inlineStr">
        <is>
          <t>▼</t>
        </is>
      </c>
    </row>
    <row r="886" ht="21.75" customHeight="1" s="314">
      <c r="A886" s="32">
        <f>IF(C886="","",1178)</f>
        <v/>
      </c>
      <c r="B886" s="7" t="n">
        <v>46191</v>
      </c>
      <c r="C886" s="14" t="n"/>
      <c r="D886" s="16" t="n"/>
      <c r="E886" s="15" t="inlineStr">
        <is>
          <t>▼</t>
        </is>
      </c>
      <c r="F886" s="15" t="inlineStr">
        <is>
          <t>▼</t>
        </is>
      </c>
      <c r="G886" s="16" t="n"/>
      <c r="H886" s="15" t="inlineStr">
        <is>
          <t>▼</t>
        </is>
      </c>
      <c r="I886" s="17">
        <f>IF(C886="","",D886+IF(F886="Ambil Obat",IF(G886="",0,G886),0))</f>
        <v/>
      </c>
      <c r="J886" s="12">
        <f>$J$878</f>
        <v/>
      </c>
      <c r="K886" s="18" t="inlineStr">
        <is>
          <t>▼</t>
        </is>
      </c>
    </row>
    <row r="887" ht="21.75" customHeight="1" s="314">
      <c r="A887" s="6">
        <f>IF(C887="","",1179)</f>
        <v/>
      </c>
      <c r="B887" s="7" t="n">
        <v>46191</v>
      </c>
      <c r="C887" s="8" t="n"/>
      <c r="D887" s="9" t="n"/>
      <c r="E887" s="10" t="inlineStr">
        <is>
          <t>▼</t>
        </is>
      </c>
      <c r="F887" s="10" t="inlineStr">
        <is>
          <t>▼</t>
        </is>
      </c>
      <c r="G887" s="9" t="n"/>
      <c r="H887" s="10" t="inlineStr">
        <is>
          <t>▼</t>
        </is>
      </c>
      <c r="I887" s="11">
        <f>IF(C887="","",D887+IF(F887="Ambil Obat",IF(G887="",0,G887),0))</f>
        <v/>
      </c>
      <c r="J887" s="12">
        <f>$J$878</f>
        <v/>
      </c>
      <c r="K887" s="13" t="inlineStr">
        <is>
          <t>▼</t>
        </is>
      </c>
    </row>
    <row r="888" ht="21.75" customHeight="1" s="314">
      <c r="A888" s="32">
        <f>IF(C888="","",1180)</f>
        <v/>
      </c>
      <c r="B888" s="7" t="n">
        <v>46191</v>
      </c>
      <c r="C888" s="14" t="n"/>
      <c r="D888" s="16" t="n"/>
      <c r="E888" s="15" t="inlineStr">
        <is>
          <t>▼</t>
        </is>
      </c>
      <c r="F888" s="15" t="inlineStr">
        <is>
          <t>▼</t>
        </is>
      </c>
      <c r="G888" s="16" t="n"/>
      <c r="H888" s="15" t="inlineStr">
        <is>
          <t>▼</t>
        </is>
      </c>
      <c r="I888" s="17">
        <f>IF(C888="","",D888+IF(F888="Ambil Obat",IF(G888="",0,G888),0))</f>
        <v/>
      </c>
      <c r="J888" s="12">
        <f>$J$878</f>
        <v/>
      </c>
      <c r="K888" s="18" t="inlineStr">
        <is>
          <t>▼</t>
        </is>
      </c>
    </row>
    <row r="889" ht="21.75" customHeight="1" s="314">
      <c r="A889" s="6">
        <f>IF(C889="","",1181)</f>
        <v/>
      </c>
      <c r="B889" s="7" t="n">
        <v>46191</v>
      </c>
      <c r="C889" s="8" t="n"/>
      <c r="D889" s="9" t="n"/>
      <c r="E889" s="10" t="inlineStr">
        <is>
          <t>▼</t>
        </is>
      </c>
      <c r="F889" s="10" t="inlineStr">
        <is>
          <t>▼</t>
        </is>
      </c>
      <c r="G889" s="9" t="n"/>
      <c r="H889" s="10" t="inlineStr">
        <is>
          <t>▼</t>
        </is>
      </c>
      <c r="I889" s="11">
        <f>IF(C889="","",D889+IF(F889="Ambil Obat",IF(G889="",0,G889),0))</f>
        <v/>
      </c>
      <c r="J889" s="12">
        <f>$J$878</f>
        <v/>
      </c>
      <c r="K889" s="13" t="inlineStr">
        <is>
          <t>▼</t>
        </is>
      </c>
    </row>
    <row r="890" ht="21.75" customHeight="1" s="314">
      <c r="A890" s="32">
        <f>IF(C890="","",1182)</f>
        <v/>
      </c>
      <c r="B890" s="7" t="n">
        <v>46191</v>
      </c>
      <c r="C890" s="14" t="n"/>
      <c r="D890" s="16" t="n"/>
      <c r="E890" s="15" t="inlineStr">
        <is>
          <t>▼</t>
        </is>
      </c>
      <c r="F890" s="15" t="inlineStr">
        <is>
          <t>▼</t>
        </is>
      </c>
      <c r="G890" s="16" t="n"/>
      <c r="H890" s="15" t="inlineStr">
        <is>
          <t>▼</t>
        </is>
      </c>
      <c r="I890" s="17">
        <f>IF(C890="","",D890+IF(F890="Ambil Obat",IF(G890="",0,G890),0))</f>
        <v/>
      </c>
      <c r="J890" s="12">
        <f>$J$878</f>
        <v/>
      </c>
      <c r="K890" s="18" t="inlineStr">
        <is>
          <t>▼</t>
        </is>
      </c>
    </row>
    <row r="891" ht="21.75" customHeight="1" s="314">
      <c r="A891" s="6">
        <f>IF(C891="","",1183)</f>
        <v/>
      </c>
      <c r="B891" s="7" t="n">
        <v>46191</v>
      </c>
      <c r="C891" s="8" t="n"/>
      <c r="D891" s="9" t="n"/>
      <c r="E891" s="10" t="inlineStr">
        <is>
          <t>▼</t>
        </is>
      </c>
      <c r="F891" s="10" t="inlineStr">
        <is>
          <t>▼</t>
        </is>
      </c>
      <c r="G891" s="9" t="n"/>
      <c r="H891" s="10" t="inlineStr">
        <is>
          <t>▼</t>
        </is>
      </c>
      <c r="I891" s="11">
        <f>IF(C891="","",D891+IF(F891="Ambil Obat",IF(G891="",0,G891),0))</f>
        <v/>
      </c>
      <c r="J891" s="12">
        <f>$J$878</f>
        <v/>
      </c>
      <c r="K891" s="13" t="inlineStr">
        <is>
          <t>▼</t>
        </is>
      </c>
    </row>
    <row r="892" ht="21.75" customHeight="1" s="314">
      <c r="A892" s="32">
        <f>IF(C892="","",1184)</f>
        <v/>
      </c>
      <c r="B892" s="7" t="n">
        <v>46191</v>
      </c>
      <c r="C892" s="14" t="n"/>
      <c r="D892" s="16" t="n"/>
      <c r="E892" s="15" t="inlineStr">
        <is>
          <t>▼</t>
        </is>
      </c>
      <c r="F892" s="15" t="inlineStr">
        <is>
          <t>▼</t>
        </is>
      </c>
      <c r="G892" s="16" t="n"/>
      <c r="H892" s="15" t="inlineStr">
        <is>
          <t>▼</t>
        </is>
      </c>
      <c r="I892" s="17">
        <f>IF(C892="","",D892+IF(F892="Ambil Obat",IF(G892="",0,G892),0))</f>
        <v/>
      </c>
      <c r="J892" s="12">
        <f>$J$878</f>
        <v/>
      </c>
      <c r="K892" s="18" t="inlineStr">
        <is>
          <t>▼</t>
        </is>
      </c>
    </row>
    <row r="893" ht="21.75" customHeight="1" s="314">
      <c r="A893" s="6">
        <f>IF(C893="","",1185)</f>
        <v/>
      </c>
      <c r="B893" s="7" t="n">
        <v>46191</v>
      </c>
      <c r="C893" s="8" t="n"/>
      <c r="D893" s="9" t="n"/>
      <c r="E893" s="10" t="inlineStr">
        <is>
          <t>▼</t>
        </is>
      </c>
      <c r="F893" s="10" t="inlineStr">
        <is>
          <t>▼</t>
        </is>
      </c>
      <c r="G893" s="9" t="n"/>
      <c r="H893" s="10" t="inlineStr">
        <is>
          <t>▼</t>
        </is>
      </c>
      <c r="I893" s="11">
        <f>IF(C893="","",D893+IF(F893="Ambil Obat",IF(G893="",0,G893),0))</f>
        <v/>
      </c>
      <c r="J893" s="12">
        <f>$J$878</f>
        <v/>
      </c>
      <c r="K893" s="13" t="inlineStr">
        <is>
          <t>▼</t>
        </is>
      </c>
    </row>
    <row r="894" ht="24" customHeight="1" s="314">
      <c r="A894" s="248">
        <f>IF(COUNTA(C879:C893)=0,"— belum ada data —","📊 Sub-total  "&amp; TEXT(B879,"DD MMM YYYY") &amp;"  ("&amp;COUNTA(C879:C893)&amp;" pasien)")</f>
        <v/>
      </c>
      <c r="B894" s="316" t="n"/>
      <c r="C894" s="316" t="n"/>
      <c r="D894" s="19">
        <f>IF(COUNTA(C879:C893)=0,"",SUM(D879:D893))</f>
        <v/>
      </c>
      <c r="E894" s="20">
        <f>IF(COUNTA(C879:C893)=0,"",SUMIF(E879:E893,"Cash",D879:D893))</f>
        <v/>
      </c>
      <c r="F894" s="21">
        <f>IF(COUNTA(C879:C893)=0,"",SUMIF(E879:E893,"Transfer Bank",D879:D893))</f>
        <v/>
      </c>
      <c r="G894" s="19">
        <f>IF(COUNTA(C879:C893)=0,"",SUMIF(F879:F893,"Ambil Obat",G879:G893))</f>
        <v/>
      </c>
      <c r="H894" s="20">
        <f>IF(COUNTA(C879:C893)=0,"",SUMIFS(G879:G893,H879:H893,"Cash",F879:F893,"Ambil Obat"))</f>
        <v/>
      </c>
      <c r="I894" s="21">
        <f>IF(COUNTA(C879:C893)=0,"",SUMIFS(G879:G893,H879:H893,"Transfer Bank",F879:F893,"Ambil Obat"))</f>
        <v/>
      </c>
      <c r="J894" s="22" t="n"/>
      <c r="K894" s="23">
        <f>IF(COUNTA(C879:C893)=0,"",D894+G894)</f>
        <v/>
      </c>
    </row>
    <row r="895" ht="24" customHeight="1" s="314">
      <c r="A895" s="249" t="inlineStr">
        <is>
          <t>📅  Jumat, 19 Juni 2026</t>
        </is>
      </c>
      <c r="B895" s="5" t="n"/>
      <c r="C895" s="5" t="n"/>
      <c r="D895" s="5" t="n"/>
      <c r="E895" s="5" t="n"/>
      <c r="F895" s="5" t="n"/>
      <c r="G895" s="5" t="n"/>
      <c r="H895" s="5" t="n"/>
      <c r="I895" s="5" t="n"/>
      <c r="J895" s="4" t="inlineStr">
        <is>
          <t>dr. JOJO</t>
        </is>
      </c>
      <c r="K895" s="5" t="n"/>
    </row>
    <row r="896" ht="21.75" customHeight="1" s="314">
      <c r="A896" s="6">
        <f>IF(C896="","",1186)</f>
        <v/>
      </c>
      <c r="B896" s="7" t="n">
        <v>46192</v>
      </c>
      <c r="C896" s="8" t="n"/>
      <c r="D896" s="9" t="n"/>
      <c r="E896" s="10" t="inlineStr">
        <is>
          <t>▼</t>
        </is>
      </c>
      <c r="F896" s="10" t="inlineStr">
        <is>
          <t>▼</t>
        </is>
      </c>
      <c r="G896" s="9" t="n"/>
      <c r="H896" s="10" t="inlineStr">
        <is>
          <t>▼</t>
        </is>
      </c>
      <c r="I896" s="11">
        <f>IF(C896="","",D896+IF(F896="Ambil Obat",IF(G896="",0,G896),0))</f>
        <v/>
      </c>
      <c r="J896" s="12">
        <f>$J$895</f>
        <v/>
      </c>
      <c r="K896" s="13" t="inlineStr">
        <is>
          <t>▼</t>
        </is>
      </c>
    </row>
    <row r="897" ht="21.75" customHeight="1" s="314">
      <c r="A897" s="32">
        <f>IF(C897="","",1187)</f>
        <v/>
      </c>
      <c r="B897" s="7" t="n">
        <v>46192</v>
      </c>
      <c r="C897" s="14" t="n"/>
      <c r="D897" s="16" t="n"/>
      <c r="E897" s="15" t="inlineStr">
        <is>
          <t>▼</t>
        </is>
      </c>
      <c r="F897" s="15" t="inlineStr">
        <is>
          <t>▼</t>
        </is>
      </c>
      <c r="G897" s="16" t="n"/>
      <c r="H897" s="15" t="inlineStr">
        <is>
          <t>▼</t>
        </is>
      </c>
      <c r="I897" s="17">
        <f>IF(C897="","",D897+IF(F897="Ambil Obat",IF(G897="",0,G897),0))</f>
        <v/>
      </c>
      <c r="J897" s="12">
        <f>$J$895</f>
        <v/>
      </c>
      <c r="K897" s="18" t="inlineStr">
        <is>
          <t>▼</t>
        </is>
      </c>
    </row>
    <row r="898" ht="21.75" customHeight="1" s="314">
      <c r="A898" s="6">
        <f>IF(C898="","",1188)</f>
        <v/>
      </c>
      <c r="B898" s="7" t="n">
        <v>46192</v>
      </c>
      <c r="C898" s="8" t="n"/>
      <c r="D898" s="9" t="n"/>
      <c r="E898" s="10" t="inlineStr">
        <is>
          <t>▼</t>
        </is>
      </c>
      <c r="F898" s="10" t="inlineStr">
        <is>
          <t>▼</t>
        </is>
      </c>
      <c r="G898" s="9" t="n"/>
      <c r="H898" s="10" t="inlineStr">
        <is>
          <t>▼</t>
        </is>
      </c>
      <c r="I898" s="11">
        <f>IF(C898="","",D898+IF(F898="Ambil Obat",IF(G898="",0,G898),0))</f>
        <v/>
      </c>
      <c r="J898" s="12">
        <f>$J$895</f>
        <v/>
      </c>
      <c r="K898" s="13" t="inlineStr">
        <is>
          <t>▼</t>
        </is>
      </c>
    </row>
    <row r="899" ht="21.75" customHeight="1" s="314">
      <c r="A899" s="32">
        <f>IF(C899="","",1189)</f>
        <v/>
      </c>
      <c r="B899" s="7" t="n">
        <v>46192</v>
      </c>
      <c r="C899" s="14" t="n"/>
      <c r="D899" s="16" t="n"/>
      <c r="E899" s="15" t="inlineStr">
        <is>
          <t>▼</t>
        </is>
      </c>
      <c r="F899" s="15" t="inlineStr">
        <is>
          <t>▼</t>
        </is>
      </c>
      <c r="G899" s="16" t="n"/>
      <c r="H899" s="15" t="inlineStr">
        <is>
          <t>▼</t>
        </is>
      </c>
      <c r="I899" s="17">
        <f>IF(C899="","",D899+IF(F899="Ambil Obat",IF(G899="",0,G899),0))</f>
        <v/>
      </c>
      <c r="J899" s="12">
        <f>$J$895</f>
        <v/>
      </c>
      <c r="K899" s="18" t="inlineStr">
        <is>
          <t>▼</t>
        </is>
      </c>
    </row>
    <row r="900" ht="21.75" customHeight="1" s="314">
      <c r="A900" s="6">
        <f>IF(C900="","",1190)</f>
        <v/>
      </c>
      <c r="B900" s="7" t="n">
        <v>46192</v>
      </c>
      <c r="C900" s="8" t="n"/>
      <c r="D900" s="9" t="n"/>
      <c r="E900" s="10" t="inlineStr">
        <is>
          <t>▼</t>
        </is>
      </c>
      <c r="F900" s="10" t="inlineStr">
        <is>
          <t>▼</t>
        </is>
      </c>
      <c r="G900" s="9" t="n"/>
      <c r="H900" s="10" t="inlineStr">
        <is>
          <t>▼</t>
        </is>
      </c>
      <c r="I900" s="11">
        <f>IF(C900="","",D900+IF(F900="Ambil Obat",IF(G900="",0,G900),0))</f>
        <v/>
      </c>
      <c r="J900" s="12">
        <f>$J$895</f>
        <v/>
      </c>
      <c r="K900" s="13" t="inlineStr">
        <is>
          <t>▼</t>
        </is>
      </c>
    </row>
    <row r="901" ht="21.75" customHeight="1" s="314">
      <c r="A901" s="32">
        <f>IF(C901="","",1191)</f>
        <v/>
      </c>
      <c r="B901" s="7" t="n">
        <v>46192</v>
      </c>
      <c r="C901" s="14" t="n"/>
      <c r="D901" s="16" t="n"/>
      <c r="E901" s="15" t="inlineStr">
        <is>
          <t>▼</t>
        </is>
      </c>
      <c r="F901" s="15" t="inlineStr">
        <is>
          <t>▼</t>
        </is>
      </c>
      <c r="G901" s="16" t="n"/>
      <c r="H901" s="15" t="inlineStr">
        <is>
          <t>▼</t>
        </is>
      </c>
      <c r="I901" s="17">
        <f>IF(C901="","",D901+IF(F901="Ambil Obat",IF(G901="",0,G901),0))</f>
        <v/>
      </c>
      <c r="J901" s="12">
        <f>$J$895</f>
        <v/>
      </c>
      <c r="K901" s="18" t="inlineStr">
        <is>
          <t>▼</t>
        </is>
      </c>
    </row>
    <row r="902" ht="21.75" customHeight="1" s="314">
      <c r="A902" s="6">
        <f>IF(C902="","",1192)</f>
        <v/>
      </c>
      <c r="B902" s="7" t="n">
        <v>46192</v>
      </c>
      <c r="C902" s="8" t="n"/>
      <c r="D902" s="9" t="n"/>
      <c r="E902" s="10" t="inlineStr">
        <is>
          <t>▼</t>
        </is>
      </c>
      <c r="F902" s="10" t="inlineStr">
        <is>
          <t>▼</t>
        </is>
      </c>
      <c r="G902" s="9" t="n"/>
      <c r="H902" s="10" t="inlineStr">
        <is>
          <t>▼</t>
        </is>
      </c>
      <c r="I902" s="11">
        <f>IF(C902="","",D902+IF(F902="Ambil Obat",IF(G902="",0,G902),0))</f>
        <v/>
      </c>
      <c r="J902" s="12">
        <f>$J$895</f>
        <v/>
      </c>
      <c r="K902" s="13" t="inlineStr">
        <is>
          <t>▼</t>
        </is>
      </c>
    </row>
    <row r="903" ht="21.75" customHeight="1" s="314">
      <c r="A903" s="32">
        <f>IF(C903="","",1193)</f>
        <v/>
      </c>
      <c r="B903" s="7" t="n">
        <v>46192</v>
      </c>
      <c r="C903" s="14" t="n"/>
      <c r="D903" s="16" t="n"/>
      <c r="E903" s="15" t="inlineStr">
        <is>
          <t>▼</t>
        </is>
      </c>
      <c r="F903" s="15" t="inlineStr">
        <is>
          <t>▼</t>
        </is>
      </c>
      <c r="G903" s="16" t="n"/>
      <c r="H903" s="15" t="inlineStr">
        <is>
          <t>▼</t>
        </is>
      </c>
      <c r="I903" s="17">
        <f>IF(C903="","",D903+IF(F903="Ambil Obat",IF(G903="",0,G903),0))</f>
        <v/>
      </c>
      <c r="J903" s="12">
        <f>$J$895</f>
        <v/>
      </c>
      <c r="K903" s="18" t="inlineStr">
        <is>
          <t>▼</t>
        </is>
      </c>
    </row>
    <row r="904" ht="21.75" customHeight="1" s="314">
      <c r="A904" s="6">
        <f>IF(C904="","",1194)</f>
        <v/>
      </c>
      <c r="B904" s="7" t="n">
        <v>46192</v>
      </c>
      <c r="C904" s="8" t="n"/>
      <c r="D904" s="9" t="n"/>
      <c r="E904" s="10" t="inlineStr">
        <is>
          <t>▼</t>
        </is>
      </c>
      <c r="F904" s="10" t="inlineStr">
        <is>
          <t>▼</t>
        </is>
      </c>
      <c r="G904" s="9" t="n"/>
      <c r="H904" s="10" t="inlineStr">
        <is>
          <t>▼</t>
        </is>
      </c>
      <c r="I904" s="11">
        <f>IF(C904="","",D904+IF(F904="Ambil Obat",IF(G904="",0,G904),0))</f>
        <v/>
      </c>
      <c r="J904" s="12">
        <f>$J$895</f>
        <v/>
      </c>
      <c r="K904" s="13" t="inlineStr">
        <is>
          <t>▼</t>
        </is>
      </c>
    </row>
    <row r="905" ht="21.75" customHeight="1" s="314">
      <c r="A905" s="32">
        <f>IF(C905="","",1195)</f>
        <v/>
      </c>
      <c r="B905" s="7" t="n">
        <v>46192</v>
      </c>
      <c r="C905" s="14" t="n"/>
      <c r="D905" s="16" t="n"/>
      <c r="E905" s="15" t="inlineStr">
        <is>
          <t>▼</t>
        </is>
      </c>
      <c r="F905" s="15" t="inlineStr">
        <is>
          <t>▼</t>
        </is>
      </c>
      <c r="G905" s="16" t="n"/>
      <c r="H905" s="15" t="inlineStr">
        <is>
          <t>▼</t>
        </is>
      </c>
      <c r="I905" s="17">
        <f>IF(C905="","",D905+IF(F905="Ambil Obat",IF(G905="",0,G905),0))</f>
        <v/>
      </c>
      <c r="J905" s="12">
        <f>$J$895</f>
        <v/>
      </c>
      <c r="K905" s="18" t="inlineStr">
        <is>
          <t>▼</t>
        </is>
      </c>
    </row>
    <row r="906" ht="21.75" customHeight="1" s="314">
      <c r="A906" s="6">
        <f>IF(C906="","",1196)</f>
        <v/>
      </c>
      <c r="B906" s="7" t="n">
        <v>46192</v>
      </c>
      <c r="C906" s="8" t="n"/>
      <c r="D906" s="9" t="n"/>
      <c r="E906" s="10" t="inlineStr">
        <is>
          <t>▼</t>
        </is>
      </c>
      <c r="F906" s="10" t="inlineStr">
        <is>
          <t>▼</t>
        </is>
      </c>
      <c r="G906" s="9" t="n"/>
      <c r="H906" s="10" t="inlineStr">
        <is>
          <t>▼</t>
        </is>
      </c>
      <c r="I906" s="11">
        <f>IF(C906="","",D906+IF(F906="Ambil Obat",IF(G906="",0,G906),0))</f>
        <v/>
      </c>
      <c r="J906" s="12">
        <f>$J$895</f>
        <v/>
      </c>
      <c r="K906" s="13" t="inlineStr">
        <is>
          <t>▼</t>
        </is>
      </c>
    </row>
    <row r="907" ht="21.75" customHeight="1" s="314">
      <c r="A907" s="32">
        <f>IF(C907="","",1197)</f>
        <v/>
      </c>
      <c r="B907" s="7" t="n">
        <v>46192</v>
      </c>
      <c r="C907" s="14" t="n"/>
      <c r="D907" s="16" t="n"/>
      <c r="E907" s="15" t="inlineStr">
        <is>
          <t>▼</t>
        </is>
      </c>
      <c r="F907" s="15" t="inlineStr">
        <is>
          <t>▼</t>
        </is>
      </c>
      <c r="G907" s="16" t="n"/>
      <c r="H907" s="15" t="inlineStr">
        <is>
          <t>▼</t>
        </is>
      </c>
      <c r="I907" s="17">
        <f>IF(C907="","",D907+IF(F907="Ambil Obat",IF(G907="",0,G907),0))</f>
        <v/>
      </c>
      <c r="J907" s="12">
        <f>$J$895</f>
        <v/>
      </c>
      <c r="K907" s="18" t="inlineStr">
        <is>
          <t>▼</t>
        </is>
      </c>
    </row>
    <row r="908" ht="21.75" customHeight="1" s="314">
      <c r="A908" s="6">
        <f>IF(C908="","",1198)</f>
        <v/>
      </c>
      <c r="B908" s="7" t="n">
        <v>46192</v>
      </c>
      <c r="C908" s="8" t="n"/>
      <c r="D908" s="9" t="n"/>
      <c r="E908" s="10" t="inlineStr">
        <is>
          <t>▼</t>
        </is>
      </c>
      <c r="F908" s="10" t="inlineStr">
        <is>
          <t>▼</t>
        </is>
      </c>
      <c r="G908" s="9" t="n"/>
      <c r="H908" s="10" t="inlineStr">
        <is>
          <t>▼</t>
        </is>
      </c>
      <c r="I908" s="11">
        <f>IF(C908="","",D908+IF(F908="Ambil Obat",IF(G908="",0,G908),0))</f>
        <v/>
      </c>
      <c r="J908" s="12">
        <f>$J$895</f>
        <v/>
      </c>
      <c r="K908" s="13" t="inlineStr">
        <is>
          <t>▼</t>
        </is>
      </c>
    </row>
    <row r="909" ht="21.75" customHeight="1" s="314">
      <c r="A909" s="32">
        <f>IF(C909="","",1199)</f>
        <v/>
      </c>
      <c r="B909" s="7" t="n">
        <v>46192</v>
      </c>
      <c r="C909" s="14" t="n"/>
      <c r="D909" s="16" t="n"/>
      <c r="E909" s="15" t="inlineStr">
        <is>
          <t>▼</t>
        </is>
      </c>
      <c r="F909" s="15" t="inlineStr">
        <is>
          <t>▼</t>
        </is>
      </c>
      <c r="G909" s="16" t="n"/>
      <c r="H909" s="15" t="inlineStr">
        <is>
          <t>▼</t>
        </is>
      </c>
      <c r="I909" s="17">
        <f>IF(C909="","",D909+IF(F909="Ambil Obat",IF(G909="",0,G909),0))</f>
        <v/>
      </c>
      <c r="J909" s="12">
        <f>$J$895</f>
        <v/>
      </c>
      <c r="K909" s="18" t="inlineStr">
        <is>
          <t>▼</t>
        </is>
      </c>
    </row>
    <row r="910" ht="21.75" customHeight="1" s="314">
      <c r="A910" s="6">
        <f>IF(C910="","",1200)</f>
        <v/>
      </c>
      <c r="B910" s="7" t="n">
        <v>46192</v>
      </c>
      <c r="C910" s="8" t="n"/>
      <c r="D910" s="9" t="n"/>
      <c r="E910" s="10" t="inlineStr">
        <is>
          <t>▼</t>
        </is>
      </c>
      <c r="F910" s="10" t="inlineStr">
        <is>
          <t>▼</t>
        </is>
      </c>
      <c r="G910" s="9" t="n"/>
      <c r="H910" s="10" t="inlineStr">
        <is>
          <t>▼</t>
        </is>
      </c>
      <c r="I910" s="11">
        <f>IF(C910="","",D910+IF(F910="Ambil Obat",IF(G910="",0,G910),0))</f>
        <v/>
      </c>
      <c r="J910" s="12">
        <f>$J$895</f>
        <v/>
      </c>
      <c r="K910" s="13" t="inlineStr">
        <is>
          <t>▼</t>
        </is>
      </c>
    </row>
    <row r="911" ht="24" customHeight="1" s="314">
      <c r="A911" s="248">
        <f>IF(COUNTA(C896:C910)=0,"— belum ada data —","📊 Sub-total  "&amp; TEXT(B896,"DD MMM YYYY") &amp;"  ("&amp;COUNTA(C896:C910)&amp;" pasien)")</f>
        <v/>
      </c>
      <c r="B911" s="316" t="n"/>
      <c r="C911" s="316" t="n"/>
      <c r="D911" s="19">
        <f>IF(COUNTA(C896:C910)=0,"",SUM(D896:D910))</f>
        <v/>
      </c>
      <c r="E911" s="20">
        <f>IF(COUNTA(C896:C910)=0,"",SUMIF(E896:E910,"Cash",D896:D910))</f>
        <v/>
      </c>
      <c r="F911" s="21">
        <f>IF(COUNTA(C896:C910)=0,"",SUMIF(E896:E910,"Transfer Bank",D896:D910))</f>
        <v/>
      </c>
      <c r="G911" s="19">
        <f>IF(COUNTA(C896:C910)=0,"",SUMIF(F896:F910,"Ambil Obat",G896:G910))</f>
        <v/>
      </c>
      <c r="H911" s="20">
        <f>IF(COUNTA(C896:C910)=0,"",SUMIFS(G896:G910,H896:H910,"Cash",F896:F910,"Ambil Obat"))</f>
        <v/>
      </c>
      <c r="I911" s="21">
        <f>IF(COUNTA(C896:C910)=0,"",SUMIFS(G896:G910,H896:H910,"Transfer Bank",F896:F910,"Ambil Obat"))</f>
        <v/>
      </c>
      <c r="J911" s="22" t="n"/>
      <c r="K911" s="23">
        <f>IF(COUNTA(C896:C910)=0,"",D911+G911)</f>
        <v/>
      </c>
    </row>
    <row r="912" ht="24" customHeight="1" s="314">
      <c r="A912" s="249" t="inlineStr">
        <is>
          <t>📅  Sabtu, 20 Juni 2026</t>
        </is>
      </c>
      <c r="B912" s="5" t="n"/>
      <c r="C912" s="5" t="n"/>
      <c r="D912" s="5" t="n"/>
      <c r="E912" s="5" t="n"/>
      <c r="F912" s="5" t="n"/>
      <c r="G912" s="5" t="n"/>
      <c r="H912" s="5" t="n"/>
      <c r="I912" s="5" t="n"/>
      <c r="J912" s="4" t="inlineStr">
        <is>
          <t>dr. HAWA</t>
        </is>
      </c>
      <c r="K912" s="5" t="n"/>
    </row>
    <row r="913" ht="21.75" customHeight="1" s="314">
      <c r="A913" s="6">
        <f>IF(C913="","",1201)</f>
        <v/>
      </c>
      <c r="B913" s="7" t="n">
        <v>46193</v>
      </c>
      <c r="C913" s="8" t="n"/>
      <c r="D913" s="9" t="n"/>
      <c r="E913" s="10" t="inlineStr">
        <is>
          <t>▼</t>
        </is>
      </c>
      <c r="F913" s="10" t="inlineStr">
        <is>
          <t>▼</t>
        </is>
      </c>
      <c r="G913" s="9" t="n"/>
      <c r="H913" s="10" t="inlineStr">
        <is>
          <t>▼</t>
        </is>
      </c>
      <c r="I913" s="11">
        <f>IF(C913="","",D913+IF(F913="Ambil Obat",IF(G913="",0,G913),0))</f>
        <v/>
      </c>
      <c r="J913" s="12">
        <f>$J$912</f>
        <v/>
      </c>
      <c r="K913" s="13" t="inlineStr">
        <is>
          <t>▼</t>
        </is>
      </c>
    </row>
    <row r="914" ht="21.75" customHeight="1" s="314">
      <c r="A914" s="32">
        <f>IF(C914="","",1202)</f>
        <v/>
      </c>
      <c r="B914" s="7" t="n">
        <v>46193</v>
      </c>
      <c r="C914" s="14" t="n"/>
      <c r="D914" s="16" t="n"/>
      <c r="E914" s="15" t="inlineStr">
        <is>
          <t>▼</t>
        </is>
      </c>
      <c r="F914" s="15" t="inlineStr">
        <is>
          <t>▼</t>
        </is>
      </c>
      <c r="G914" s="16" t="n"/>
      <c r="H914" s="15" t="inlineStr">
        <is>
          <t>▼</t>
        </is>
      </c>
      <c r="I914" s="17">
        <f>IF(C914="","",D914+IF(F914="Ambil Obat",IF(G914="",0,G914),0))</f>
        <v/>
      </c>
      <c r="J914" s="12">
        <f>$J$912</f>
        <v/>
      </c>
      <c r="K914" s="18" t="inlineStr">
        <is>
          <t>▼</t>
        </is>
      </c>
    </row>
    <row r="915" ht="21.75" customHeight="1" s="314">
      <c r="A915" s="6">
        <f>IF(C915="","",1203)</f>
        <v/>
      </c>
      <c r="B915" s="7" t="n">
        <v>46193</v>
      </c>
      <c r="C915" s="8" t="n"/>
      <c r="D915" s="9" t="n"/>
      <c r="E915" s="10" t="inlineStr">
        <is>
          <t>▼</t>
        </is>
      </c>
      <c r="F915" s="10" t="inlineStr">
        <is>
          <t>▼</t>
        </is>
      </c>
      <c r="G915" s="9" t="n"/>
      <c r="H915" s="10" t="inlineStr">
        <is>
          <t>▼</t>
        </is>
      </c>
      <c r="I915" s="11">
        <f>IF(C915="","",D915+IF(F915="Ambil Obat",IF(G915="",0,G915),0))</f>
        <v/>
      </c>
      <c r="J915" s="12">
        <f>$J$912</f>
        <v/>
      </c>
      <c r="K915" s="13" t="inlineStr">
        <is>
          <t>▼</t>
        </is>
      </c>
    </row>
    <row r="916" ht="21.75" customHeight="1" s="314">
      <c r="A916" s="32">
        <f>IF(C916="","",1204)</f>
        <v/>
      </c>
      <c r="B916" s="7" t="n">
        <v>46193</v>
      </c>
      <c r="C916" s="14" t="n"/>
      <c r="D916" s="16" t="n"/>
      <c r="E916" s="15" t="inlineStr">
        <is>
          <t>▼</t>
        </is>
      </c>
      <c r="F916" s="15" t="inlineStr">
        <is>
          <t>▼</t>
        </is>
      </c>
      <c r="G916" s="16" t="n"/>
      <c r="H916" s="15" t="inlineStr">
        <is>
          <t>▼</t>
        </is>
      </c>
      <c r="I916" s="17">
        <f>IF(C916="","",D916+IF(F916="Ambil Obat",IF(G916="",0,G916),0))</f>
        <v/>
      </c>
      <c r="J916" s="12">
        <f>$J$912</f>
        <v/>
      </c>
      <c r="K916" s="18" t="inlineStr">
        <is>
          <t>▼</t>
        </is>
      </c>
    </row>
    <row r="917" ht="21.75" customHeight="1" s="314">
      <c r="A917" s="6">
        <f>IF(C917="","",1205)</f>
        <v/>
      </c>
      <c r="B917" s="7" t="n">
        <v>46193</v>
      </c>
      <c r="C917" s="8" t="n"/>
      <c r="D917" s="9" t="n"/>
      <c r="E917" s="10" t="inlineStr">
        <is>
          <t>▼</t>
        </is>
      </c>
      <c r="F917" s="10" t="inlineStr">
        <is>
          <t>▼</t>
        </is>
      </c>
      <c r="G917" s="9" t="n"/>
      <c r="H917" s="10" t="inlineStr">
        <is>
          <t>▼</t>
        </is>
      </c>
      <c r="I917" s="11">
        <f>IF(C917="","",D917+IF(F917="Ambil Obat",IF(G917="",0,G917),0))</f>
        <v/>
      </c>
      <c r="J917" s="12">
        <f>$J$912</f>
        <v/>
      </c>
      <c r="K917" s="13" t="inlineStr">
        <is>
          <t>▼</t>
        </is>
      </c>
    </row>
    <row r="918" ht="21.75" customHeight="1" s="314">
      <c r="A918" s="32">
        <f>IF(C918="","",1206)</f>
        <v/>
      </c>
      <c r="B918" s="7" t="n">
        <v>46193</v>
      </c>
      <c r="C918" s="14" t="n"/>
      <c r="D918" s="16" t="n"/>
      <c r="E918" s="15" t="inlineStr">
        <is>
          <t>▼</t>
        </is>
      </c>
      <c r="F918" s="15" t="inlineStr">
        <is>
          <t>▼</t>
        </is>
      </c>
      <c r="G918" s="16" t="n"/>
      <c r="H918" s="15" t="inlineStr">
        <is>
          <t>▼</t>
        </is>
      </c>
      <c r="I918" s="17">
        <f>IF(C918="","",D918+IF(F918="Ambil Obat",IF(G918="",0,G918),0))</f>
        <v/>
      </c>
      <c r="J918" s="12">
        <f>$J$912</f>
        <v/>
      </c>
      <c r="K918" s="18" t="inlineStr">
        <is>
          <t>▼</t>
        </is>
      </c>
    </row>
    <row r="919" ht="21.75" customHeight="1" s="314">
      <c r="A919" s="6">
        <f>IF(C919="","",1207)</f>
        <v/>
      </c>
      <c r="B919" s="7" t="n">
        <v>46193</v>
      </c>
      <c r="C919" s="8" t="n"/>
      <c r="D919" s="9" t="n"/>
      <c r="E919" s="10" t="inlineStr">
        <is>
          <t>▼</t>
        </is>
      </c>
      <c r="F919" s="10" t="inlineStr">
        <is>
          <t>▼</t>
        </is>
      </c>
      <c r="G919" s="9" t="n"/>
      <c r="H919" s="10" t="inlineStr">
        <is>
          <t>▼</t>
        </is>
      </c>
      <c r="I919" s="11">
        <f>IF(C919="","",D919+IF(F919="Ambil Obat",IF(G919="",0,G919),0))</f>
        <v/>
      </c>
      <c r="J919" s="12">
        <f>$J$912</f>
        <v/>
      </c>
      <c r="K919" s="13" t="inlineStr">
        <is>
          <t>▼</t>
        </is>
      </c>
    </row>
    <row r="920" ht="21.75" customHeight="1" s="314">
      <c r="A920" s="32">
        <f>IF(C920="","",1208)</f>
        <v/>
      </c>
      <c r="B920" s="7" t="n">
        <v>46193</v>
      </c>
      <c r="C920" s="14" t="n"/>
      <c r="D920" s="16" t="n"/>
      <c r="E920" s="15" t="inlineStr">
        <is>
          <t>▼</t>
        </is>
      </c>
      <c r="F920" s="15" t="inlineStr">
        <is>
          <t>▼</t>
        </is>
      </c>
      <c r="G920" s="16" t="n"/>
      <c r="H920" s="15" t="inlineStr">
        <is>
          <t>▼</t>
        </is>
      </c>
      <c r="I920" s="17">
        <f>IF(C920="","",D920+IF(F920="Ambil Obat",IF(G920="",0,G920),0))</f>
        <v/>
      </c>
      <c r="J920" s="12">
        <f>$J$912</f>
        <v/>
      </c>
      <c r="K920" s="18" t="inlineStr">
        <is>
          <t>▼</t>
        </is>
      </c>
    </row>
    <row r="921" ht="21.75" customHeight="1" s="314">
      <c r="A921" s="6">
        <f>IF(C921="","",1209)</f>
        <v/>
      </c>
      <c r="B921" s="7" t="n">
        <v>46193</v>
      </c>
      <c r="C921" s="8" t="n"/>
      <c r="D921" s="9" t="n"/>
      <c r="E921" s="10" t="inlineStr">
        <is>
          <t>▼</t>
        </is>
      </c>
      <c r="F921" s="10" t="inlineStr">
        <is>
          <t>▼</t>
        </is>
      </c>
      <c r="G921" s="9" t="n"/>
      <c r="H921" s="10" t="inlineStr">
        <is>
          <t>▼</t>
        </is>
      </c>
      <c r="I921" s="11">
        <f>IF(C921="","",D921+IF(F921="Ambil Obat",IF(G921="",0,G921),0))</f>
        <v/>
      </c>
      <c r="J921" s="12">
        <f>$J$912</f>
        <v/>
      </c>
      <c r="K921" s="13" t="inlineStr">
        <is>
          <t>▼</t>
        </is>
      </c>
    </row>
    <row r="922" ht="21.75" customHeight="1" s="314">
      <c r="A922" s="32">
        <f>IF(C922="","",1210)</f>
        <v/>
      </c>
      <c r="B922" s="7" t="n">
        <v>46193</v>
      </c>
      <c r="C922" s="14" t="n"/>
      <c r="D922" s="16" t="n"/>
      <c r="E922" s="15" t="inlineStr">
        <is>
          <t>▼</t>
        </is>
      </c>
      <c r="F922" s="15" t="inlineStr">
        <is>
          <t>▼</t>
        </is>
      </c>
      <c r="G922" s="16" t="n"/>
      <c r="H922" s="15" t="inlineStr">
        <is>
          <t>▼</t>
        </is>
      </c>
      <c r="I922" s="17">
        <f>IF(C922="","",D922+IF(F922="Ambil Obat",IF(G922="",0,G922),0))</f>
        <v/>
      </c>
      <c r="J922" s="12">
        <f>$J$912</f>
        <v/>
      </c>
      <c r="K922" s="18" t="inlineStr">
        <is>
          <t>▼</t>
        </is>
      </c>
    </row>
    <row r="923" ht="21.75" customHeight="1" s="314">
      <c r="A923" s="6">
        <f>IF(C923="","",1211)</f>
        <v/>
      </c>
      <c r="B923" s="7" t="n">
        <v>46193</v>
      </c>
      <c r="C923" s="8" t="n"/>
      <c r="D923" s="9" t="n"/>
      <c r="E923" s="10" t="inlineStr">
        <is>
          <t>▼</t>
        </is>
      </c>
      <c r="F923" s="10" t="inlineStr">
        <is>
          <t>▼</t>
        </is>
      </c>
      <c r="G923" s="9" t="n"/>
      <c r="H923" s="10" t="inlineStr">
        <is>
          <t>▼</t>
        </is>
      </c>
      <c r="I923" s="11">
        <f>IF(C923="","",D923+IF(F923="Ambil Obat",IF(G923="",0,G923),0))</f>
        <v/>
      </c>
      <c r="J923" s="12">
        <f>$J$912</f>
        <v/>
      </c>
      <c r="K923" s="13" t="inlineStr">
        <is>
          <t>▼</t>
        </is>
      </c>
    </row>
    <row r="924" ht="21.75" customHeight="1" s="314">
      <c r="A924" s="32">
        <f>IF(C924="","",1212)</f>
        <v/>
      </c>
      <c r="B924" s="7" t="n">
        <v>46193</v>
      </c>
      <c r="C924" s="14" t="n"/>
      <c r="D924" s="16" t="n"/>
      <c r="E924" s="15" t="inlineStr">
        <is>
          <t>▼</t>
        </is>
      </c>
      <c r="F924" s="15" t="inlineStr">
        <is>
          <t>▼</t>
        </is>
      </c>
      <c r="G924" s="16" t="n"/>
      <c r="H924" s="15" t="inlineStr">
        <is>
          <t>▼</t>
        </is>
      </c>
      <c r="I924" s="17">
        <f>IF(C924="","",D924+IF(F924="Ambil Obat",IF(G924="",0,G924),0))</f>
        <v/>
      </c>
      <c r="J924" s="12">
        <f>$J$912</f>
        <v/>
      </c>
      <c r="K924" s="18" t="inlineStr">
        <is>
          <t>▼</t>
        </is>
      </c>
    </row>
    <row r="925" ht="21.75" customHeight="1" s="314">
      <c r="A925" s="6">
        <f>IF(C925="","",1213)</f>
        <v/>
      </c>
      <c r="B925" s="7" t="n">
        <v>46193</v>
      </c>
      <c r="C925" s="8" t="n"/>
      <c r="D925" s="9" t="n"/>
      <c r="E925" s="10" t="inlineStr">
        <is>
          <t>▼</t>
        </is>
      </c>
      <c r="F925" s="10" t="inlineStr">
        <is>
          <t>▼</t>
        </is>
      </c>
      <c r="G925" s="9" t="n"/>
      <c r="H925" s="10" t="inlineStr">
        <is>
          <t>▼</t>
        </is>
      </c>
      <c r="I925" s="11">
        <f>IF(C925="","",D925+IF(F925="Ambil Obat",IF(G925="",0,G925),0))</f>
        <v/>
      </c>
      <c r="J925" s="12">
        <f>$J$912</f>
        <v/>
      </c>
      <c r="K925" s="13" t="inlineStr">
        <is>
          <t>▼</t>
        </is>
      </c>
    </row>
    <row r="926" ht="21.75" customHeight="1" s="314">
      <c r="A926" s="32">
        <f>IF(C926="","",1214)</f>
        <v/>
      </c>
      <c r="B926" s="7" t="n">
        <v>46193</v>
      </c>
      <c r="C926" s="14" t="n"/>
      <c r="D926" s="16" t="n"/>
      <c r="E926" s="15" t="inlineStr">
        <is>
          <t>▼</t>
        </is>
      </c>
      <c r="F926" s="15" t="inlineStr">
        <is>
          <t>▼</t>
        </is>
      </c>
      <c r="G926" s="16" t="n"/>
      <c r="H926" s="15" t="inlineStr">
        <is>
          <t>▼</t>
        </is>
      </c>
      <c r="I926" s="17">
        <f>IF(C926="","",D926+IF(F926="Ambil Obat",IF(G926="",0,G926),0))</f>
        <v/>
      </c>
      <c r="J926" s="12">
        <f>$J$912</f>
        <v/>
      </c>
      <c r="K926" s="18" t="inlineStr">
        <is>
          <t>▼</t>
        </is>
      </c>
    </row>
    <row r="927" ht="21.75" customHeight="1" s="314">
      <c r="A927" s="6">
        <f>IF(C927="","",1215)</f>
        <v/>
      </c>
      <c r="B927" s="7" t="n">
        <v>46193</v>
      </c>
      <c r="C927" s="8" t="n"/>
      <c r="D927" s="9" t="n"/>
      <c r="E927" s="10" t="inlineStr">
        <is>
          <t>▼</t>
        </is>
      </c>
      <c r="F927" s="10" t="inlineStr">
        <is>
          <t>▼</t>
        </is>
      </c>
      <c r="G927" s="9" t="n"/>
      <c r="H927" s="10" t="inlineStr">
        <is>
          <t>▼</t>
        </is>
      </c>
      <c r="I927" s="11">
        <f>IF(C927="","",D927+IF(F927="Ambil Obat",IF(G927="",0,G927),0))</f>
        <v/>
      </c>
      <c r="J927" s="12">
        <f>$J$912</f>
        <v/>
      </c>
      <c r="K927" s="13" t="inlineStr">
        <is>
          <t>▼</t>
        </is>
      </c>
    </row>
    <row r="928" ht="24" customHeight="1" s="314">
      <c r="A928" s="248">
        <f>IF(COUNTA(C913:C927)=0,"— belum ada data —","📊 Sub-total  "&amp; TEXT(B913,"DD MMM YYYY") &amp;"  ("&amp;COUNTA(C913:C927)&amp;" pasien)")</f>
        <v/>
      </c>
      <c r="B928" s="316" t="n"/>
      <c r="C928" s="316" t="n"/>
      <c r="D928" s="19">
        <f>IF(COUNTA(C913:C927)=0,"",SUM(D913:D927))</f>
        <v/>
      </c>
      <c r="E928" s="20">
        <f>IF(COUNTA(C913:C927)=0,"",SUMIF(E913:E927,"Cash",D913:D927))</f>
        <v/>
      </c>
      <c r="F928" s="21">
        <f>IF(COUNTA(C913:C927)=0,"",SUMIF(E913:E927,"Transfer Bank",D913:D927))</f>
        <v/>
      </c>
      <c r="G928" s="19">
        <f>IF(COUNTA(C913:C927)=0,"",SUMIF(F913:F927,"Ambil Obat",G913:G927))</f>
        <v/>
      </c>
      <c r="H928" s="20">
        <f>IF(COUNTA(C913:C927)=0,"",SUMIFS(G913:G927,H913:H927,"Cash",F913:F927,"Ambil Obat"))</f>
        <v/>
      </c>
      <c r="I928" s="21">
        <f>IF(COUNTA(C913:C927)=0,"",SUMIFS(G913:G927,H913:H927,"Transfer Bank",F913:F927,"Ambil Obat"))</f>
        <v/>
      </c>
      <c r="J928" s="22" t="n"/>
      <c r="K928" s="23">
        <f>IF(COUNTA(C913:C927)=0,"",D928+G928)</f>
        <v/>
      </c>
    </row>
    <row r="929" ht="24" customHeight="1" s="314">
      <c r="A929" s="249" t="inlineStr">
        <is>
          <t>📅  Minggu, 21 Juni 2026</t>
        </is>
      </c>
      <c r="B929" s="5" t="n"/>
      <c r="C929" s="5" t="n"/>
      <c r="D929" s="5" t="n"/>
      <c r="E929" s="5" t="n"/>
      <c r="F929" s="5" t="n"/>
      <c r="G929" s="5" t="n"/>
      <c r="H929" s="5" t="n"/>
      <c r="I929" s="5" t="n"/>
      <c r="J929" s="4" t="inlineStr">
        <is>
          <t>dr. HAWA</t>
        </is>
      </c>
      <c r="K929" s="5" t="n"/>
    </row>
    <row r="930" ht="21.75" customHeight="1" s="314">
      <c r="A930" s="6">
        <f>IF(C930="","",1216)</f>
        <v/>
      </c>
      <c r="B930" s="7" t="n">
        <v>46194</v>
      </c>
      <c r="C930" s="8" t="n"/>
      <c r="D930" s="9" t="n"/>
      <c r="E930" s="10" t="inlineStr">
        <is>
          <t>▼</t>
        </is>
      </c>
      <c r="F930" s="10" t="inlineStr">
        <is>
          <t>▼</t>
        </is>
      </c>
      <c r="G930" s="9" t="n"/>
      <c r="H930" s="10" t="inlineStr">
        <is>
          <t>▼</t>
        </is>
      </c>
      <c r="I930" s="11">
        <f>IF(C930="","",D930+IF(F930="Ambil Obat",IF(G930="",0,G930),0))</f>
        <v/>
      </c>
      <c r="J930" s="12">
        <f>$J$929</f>
        <v/>
      </c>
      <c r="K930" s="13" t="inlineStr">
        <is>
          <t>▼</t>
        </is>
      </c>
    </row>
    <row r="931" ht="21.75" customHeight="1" s="314">
      <c r="A931" s="32">
        <f>IF(C931="","",1217)</f>
        <v/>
      </c>
      <c r="B931" s="7" t="n">
        <v>46194</v>
      </c>
      <c r="C931" s="14" t="n"/>
      <c r="D931" s="16" t="n"/>
      <c r="E931" s="15" t="inlineStr">
        <is>
          <t>▼</t>
        </is>
      </c>
      <c r="F931" s="15" t="inlineStr">
        <is>
          <t>▼</t>
        </is>
      </c>
      <c r="G931" s="16" t="n"/>
      <c r="H931" s="15" t="inlineStr">
        <is>
          <t>▼</t>
        </is>
      </c>
      <c r="I931" s="17">
        <f>IF(C931="","",D931+IF(F931="Ambil Obat",IF(G931="",0,G931),0))</f>
        <v/>
      </c>
      <c r="J931" s="12">
        <f>$J$929</f>
        <v/>
      </c>
      <c r="K931" s="18" t="inlineStr">
        <is>
          <t>▼</t>
        </is>
      </c>
    </row>
    <row r="932" ht="21.75" customHeight="1" s="314">
      <c r="A932" s="6">
        <f>IF(C932="","",1218)</f>
        <v/>
      </c>
      <c r="B932" s="7" t="n">
        <v>46194</v>
      </c>
      <c r="C932" s="8" t="n"/>
      <c r="D932" s="9" t="n"/>
      <c r="E932" s="10" t="inlineStr">
        <is>
          <t>▼</t>
        </is>
      </c>
      <c r="F932" s="10" t="inlineStr">
        <is>
          <t>▼</t>
        </is>
      </c>
      <c r="G932" s="9" t="n"/>
      <c r="H932" s="10" t="inlineStr">
        <is>
          <t>▼</t>
        </is>
      </c>
      <c r="I932" s="11">
        <f>IF(C932="","",D932+IF(F932="Ambil Obat",IF(G932="",0,G932),0))</f>
        <v/>
      </c>
      <c r="J932" s="12">
        <f>$J$929</f>
        <v/>
      </c>
      <c r="K932" s="13" t="inlineStr">
        <is>
          <t>▼</t>
        </is>
      </c>
    </row>
    <row r="933" ht="21.75" customHeight="1" s="314">
      <c r="A933" s="32">
        <f>IF(C933="","",1219)</f>
        <v/>
      </c>
      <c r="B933" s="7" t="n">
        <v>46194</v>
      </c>
      <c r="C933" s="14" t="n"/>
      <c r="D933" s="16" t="n"/>
      <c r="E933" s="15" t="inlineStr">
        <is>
          <t>▼</t>
        </is>
      </c>
      <c r="F933" s="15" t="inlineStr">
        <is>
          <t>▼</t>
        </is>
      </c>
      <c r="G933" s="16" t="n"/>
      <c r="H933" s="15" t="inlineStr">
        <is>
          <t>▼</t>
        </is>
      </c>
      <c r="I933" s="17">
        <f>IF(C933="","",D933+IF(F933="Ambil Obat",IF(G933="",0,G933),0))</f>
        <v/>
      </c>
      <c r="J933" s="12">
        <f>$J$929</f>
        <v/>
      </c>
      <c r="K933" s="18" t="inlineStr">
        <is>
          <t>▼</t>
        </is>
      </c>
    </row>
    <row r="934" ht="21.75" customHeight="1" s="314">
      <c r="A934" s="6">
        <f>IF(C934="","",1220)</f>
        <v/>
      </c>
      <c r="B934" s="7" t="n">
        <v>46194</v>
      </c>
      <c r="C934" s="8" t="n"/>
      <c r="D934" s="9" t="n"/>
      <c r="E934" s="10" t="inlineStr">
        <is>
          <t>▼</t>
        </is>
      </c>
      <c r="F934" s="10" t="inlineStr">
        <is>
          <t>▼</t>
        </is>
      </c>
      <c r="G934" s="9" t="n"/>
      <c r="H934" s="10" t="inlineStr">
        <is>
          <t>▼</t>
        </is>
      </c>
      <c r="I934" s="11">
        <f>IF(C934="","",D934+IF(F934="Ambil Obat",IF(G934="",0,G934),0))</f>
        <v/>
      </c>
      <c r="J934" s="12">
        <f>$J$929</f>
        <v/>
      </c>
      <c r="K934" s="13" t="inlineStr">
        <is>
          <t>▼</t>
        </is>
      </c>
    </row>
    <row r="935" ht="21.75" customHeight="1" s="314">
      <c r="A935" s="32">
        <f>IF(C935="","",1221)</f>
        <v/>
      </c>
      <c r="B935" s="7" t="n">
        <v>46194</v>
      </c>
      <c r="C935" s="14" t="n"/>
      <c r="D935" s="16" t="n"/>
      <c r="E935" s="15" t="inlineStr">
        <is>
          <t>▼</t>
        </is>
      </c>
      <c r="F935" s="15" t="inlineStr">
        <is>
          <t>▼</t>
        </is>
      </c>
      <c r="G935" s="16" t="n"/>
      <c r="H935" s="15" t="inlineStr">
        <is>
          <t>▼</t>
        </is>
      </c>
      <c r="I935" s="17">
        <f>IF(C935="","",D935+IF(F935="Ambil Obat",IF(G935="",0,G935),0))</f>
        <v/>
      </c>
      <c r="J935" s="12">
        <f>$J$929</f>
        <v/>
      </c>
      <c r="K935" s="18" t="inlineStr">
        <is>
          <t>▼</t>
        </is>
      </c>
    </row>
    <row r="936" ht="21.75" customHeight="1" s="314">
      <c r="A936" s="6">
        <f>IF(C936="","",1222)</f>
        <v/>
      </c>
      <c r="B936" s="7" t="n">
        <v>46194</v>
      </c>
      <c r="C936" s="8" t="n"/>
      <c r="D936" s="9" t="n"/>
      <c r="E936" s="10" t="inlineStr">
        <is>
          <t>▼</t>
        </is>
      </c>
      <c r="F936" s="10" t="inlineStr">
        <is>
          <t>▼</t>
        </is>
      </c>
      <c r="G936" s="9" t="n"/>
      <c r="H936" s="10" t="inlineStr">
        <is>
          <t>▼</t>
        </is>
      </c>
      <c r="I936" s="11">
        <f>IF(C936="","",D936+IF(F936="Ambil Obat",IF(G936="",0,G936),0))</f>
        <v/>
      </c>
      <c r="J936" s="12">
        <f>$J$929</f>
        <v/>
      </c>
      <c r="K936" s="13" t="inlineStr">
        <is>
          <t>▼</t>
        </is>
      </c>
    </row>
    <row r="937" ht="21.75" customHeight="1" s="314">
      <c r="A937" s="32">
        <f>IF(C937="","",1223)</f>
        <v/>
      </c>
      <c r="B937" s="7" t="n">
        <v>46194</v>
      </c>
      <c r="C937" s="14" t="n"/>
      <c r="D937" s="16" t="n"/>
      <c r="E937" s="15" t="inlineStr">
        <is>
          <t>▼</t>
        </is>
      </c>
      <c r="F937" s="15" t="inlineStr">
        <is>
          <t>▼</t>
        </is>
      </c>
      <c r="G937" s="16" t="n"/>
      <c r="H937" s="15" t="inlineStr">
        <is>
          <t>▼</t>
        </is>
      </c>
      <c r="I937" s="17">
        <f>IF(C937="","",D937+IF(F937="Ambil Obat",IF(G937="",0,G937),0))</f>
        <v/>
      </c>
      <c r="J937" s="12">
        <f>$J$929</f>
        <v/>
      </c>
      <c r="K937" s="18" t="inlineStr">
        <is>
          <t>▼</t>
        </is>
      </c>
    </row>
    <row r="938" ht="21.75" customHeight="1" s="314">
      <c r="A938" s="6">
        <f>IF(C938="","",1224)</f>
        <v/>
      </c>
      <c r="B938" s="7" t="n">
        <v>46194</v>
      </c>
      <c r="C938" s="8" t="n"/>
      <c r="D938" s="9" t="n"/>
      <c r="E938" s="10" t="inlineStr">
        <is>
          <t>▼</t>
        </is>
      </c>
      <c r="F938" s="10" t="inlineStr">
        <is>
          <t>▼</t>
        </is>
      </c>
      <c r="G938" s="9" t="n"/>
      <c r="H938" s="10" t="inlineStr">
        <is>
          <t>▼</t>
        </is>
      </c>
      <c r="I938" s="11">
        <f>IF(C938="","",D938+IF(F938="Ambil Obat",IF(G938="",0,G938),0))</f>
        <v/>
      </c>
      <c r="J938" s="12">
        <f>$J$929</f>
        <v/>
      </c>
      <c r="K938" s="13" t="inlineStr">
        <is>
          <t>▼</t>
        </is>
      </c>
    </row>
    <row r="939" ht="21.75" customHeight="1" s="314">
      <c r="A939" s="32">
        <f>IF(C939="","",1225)</f>
        <v/>
      </c>
      <c r="B939" s="7" t="n">
        <v>46194</v>
      </c>
      <c r="C939" s="14" t="n"/>
      <c r="D939" s="16" t="n"/>
      <c r="E939" s="15" t="inlineStr">
        <is>
          <t>▼</t>
        </is>
      </c>
      <c r="F939" s="15" t="inlineStr">
        <is>
          <t>▼</t>
        </is>
      </c>
      <c r="G939" s="16" t="n"/>
      <c r="H939" s="15" t="inlineStr">
        <is>
          <t>▼</t>
        </is>
      </c>
      <c r="I939" s="17">
        <f>IF(C939="","",D939+IF(F939="Ambil Obat",IF(G939="",0,G939),0))</f>
        <v/>
      </c>
      <c r="J939" s="12">
        <f>$J$929</f>
        <v/>
      </c>
      <c r="K939" s="18" t="inlineStr">
        <is>
          <t>▼</t>
        </is>
      </c>
    </row>
    <row r="940" ht="21.75" customHeight="1" s="314">
      <c r="A940" s="6">
        <f>IF(C940="","",1226)</f>
        <v/>
      </c>
      <c r="B940" s="7" t="n">
        <v>46194</v>
      </c>
      <c r="C940" s="8" t="n"/>
      <c r="D940" s="9" t="n"/>
      <c r="E940" s="10" t="inlineStr">
        <is>
          <t>▼</t>
        </is>
      </c>
      <c r="F940" s="10" t="inlineStr">
        <is>
          <t>▼</t>
        </is>
      </c>
      <c r="G940" s="9" t="n"/>
      <c r="H940" s="10" t="inlineStr">
        <is>
          <t>▼</t>
        </is>
      </c>
      <c r="I940" s="11">
        <f>IF(C940="","",D940+IF(F940="Ambil Obat",IF(G940="",0,G940),0))</f>
        <v/>
      </c>
      <c r="J940" s="12">
        <f>$J$929</f>
        <v/>
      </c>
      <c r="K940" s="13" t="inlineStr">
        <is>
          <t>▼</t>
        </is>
      </c>
    </row>
    <row r="941" ht="21.75" customHeight="1" s="314">
      <c r="A941" s="32">
        <f>IF(C941="","",1227)</f>
        <v/>
      </c>
      <c r="B941" s="7" t="n">
        <v>46194</v>
      </c>
      <c r="C941" s="14" t="n"/>
      <c r="D941" s="16" t="n"/>
      <c r="E941" s="15" t="inlineStr">
        <is>
          <t>▼</t>
        </is>
      </c>
      <c r="F941" s="15" t="inlineStr">
        <is>
          <t>▼</t>
        </is>
      </c>
      <c r="G941" s="16" t="n"/>
      <c r="H941" s="15" t="inlineStr">
        <is>
          <t>▼</t>
        </is>
      </c>
      <c r="I941" s="17">
        <f>IF(C941="","",D941+IF(F941="Ambil Obat",IF(G941="",0,G941),0))</f>
        <v/>
      </c>
      <c r="J941" s="12">
        <f>$J$929</f>
        <v/>
      </c>
      <c r="K941" s="18" t="inlineStr">
        <is>
          <t>▼</t>
        </is>
      </c>
    </row>
    <row r="942" ht="21.75" customHeight="1" s="314">
      <c r="A942" s="6">
        <f>IF(C942="","",1228)</f>
        <v/>
      </c>
      <c r="B942" s="7" t="n">
        <v>46194</v>
      </c>
      <c r="C942" s="8" t="n"/>
      <c r="D942" s="9" t="n"/>
      <c r="E942" s="10" t="inlineStr">
        <is>
          <t>▼</t>
        </is>
      </c>
      <c r="F942" s="10" t="inlineStr">
        <is>
          <t>▼</t>
        </is>
      </c>
      <c r="G942" s="9" t="n"/>
      <c r="H942" s="10" t="inlineStr">
        <is>
          <t>▼</t>
        </is>
      </c>
      <c r="I942" s="11">
        <f>IF(C942="","",D942+IF(F942="Ambil Obat",IF(G942="",0,G942),0))</f>
        <v/>
      </c>
      <c r="J942" s="12">
        <f>$J$929</f>
        <v/>
      </c>
      <c r="K942" s="13" t="inlineStr">
        <is>
          <t>▼</t>
        </is>
      </c>
    </row>
    <row r="943" ht="21.75" customHeight="1" s="314">
      <c r="A943" s="32">
        <f>IF(C943="","",1229)</f>
        <v/>
      </c>
      <c r="B943" s="7" t="n">
        <v>46194</v>
      </c>
      <c r="C943" s="14" t="n"/>
      <c r="D943" s="16" t="n"/>
      <c r="E943" s="15" t="inlineStr">
        <is>
          <t>▼</t>
        </is>
      </c>
      <c r="F943" s="15" t="inlineStr">
        <is>
          <t>▼</t>
        </is>
      </c>
      <c r="G943" s="16" t="n"/>
      <c r="H943" s="15" t="inlineStr">
        <is>
          <t>▼</t>
        </is>
      </c>
      <c r="I943" s="17">
        <f>IF(C943="","",D943+IF(F943="Ambil Obat",IF(G943="",0,G943),0))</f>
        <v/>
      </c>
      <c r="J943" s="12">
        <f>$J$929</f>
        <v/>
      </c>
      <c r="K943" s="18" t="inlineStr">
        <is>
          <t>▼</t>
        </is>
      </c>
    </row>
    <row r="944" ht="21.75" customHeight="1" s="314">
      <c r="A944" s="6">
        <f>IF(C944="","",1230)</f>
        <v/>
      </c>
      <c r="B944" s="7" t="n">
        <v>46194</v>
      </c>
      <c r="C944" s="8" t="n"/>
      <c r="D944" s="9" t="n"/>
      <c r="E944" s="10" t="inlineStr">
        <is>
          <t>▼</t>
        </is>
      </c>
      <c r="F944" s="10" t="inlineStr">
        <is>
          <t>▼</t>
        </is>
      </c>
      <c r="G944" s="9" t="n"/>
      <c r="H944" s="10" t="inlineStr">
        <is>
          <t>▼</t>
        </is>
      </c>
      <c r="I944" s="11">
        <f>IF(C944="","",D944+IF(F944="Ambil Obat",IF(G944="",0,G944),0))</f>
        <v/>
      </c>
      <c r="J944" s="12">
        <f>$J$929</f>
        <v/>
      </c>
      <c r="K944" s="13" t="inlineStr">
        <is>
          <t>▼</t>
        </is>
      </c>
    </row>
    <row r="945" ht="24" customHeight="1" s="314">
      <c r="A945" s="248">
        <f>IF(COUNTA(C930:C944)=0,"— belum ada data —","📊 Sub-total  "&amp; TEXT(B930,"DD MMM YYYY") &amp;"  ("&amp;COUNTA(C930:C944)&amp;" pasien)")</f>
        <v/>
      </c>
      <c r="B945" s="316" t="n"/>
      <c r="C945" s="316" t="n"/>
      <c r="D945" s="19">
        <f>IF(COUNTA(C930:C944)=0,"",SUM(D930:D944))</f>
        <v/>
      </c>
      <c r="E945" s="20">
        <f>IF(COUNTA(C930:C944)=0,"",SUMIF(E930:E944,"Cash",D930:D944))</f>
        <v/>
      </c>
      <c r="F945" s="21">
        <f>IF(COUNTA(C930:C944)=0,"",SUMIF(E930:E944,"Transfer Bank",D930:D944))</f>
        <v/>
      </c>
      <c r="G945" s="19">
        <f>IF(COUNTA(C930:C944)=0,"",SUMIF(F930:F944,"Ambil Obat",G930:G944))</f>
        <v/>
      </c>
      <c r="H945" s="20">
        <f>IF(COUNTA(C930:C944)=0,"",SUMIFS(G930:G944,H930:H944,"Cash",F930:F944,"Ambil Obat"))</f>
        <v/>
      </c>
      <c r="I945" s="21">
        <f>IF(COUNTA(C930:C944)=0,"",SUMIFS(G930:G944,H930:H944,"Transfer Bank",F930:F944,"Ambil Obat"))</f>
        <v/>
      </c>
      <c r="J945" s="22" t="n"/>
      <c r="K945" s="23">
        <f>IF(COUNTA(C930:C944)=0,"",D945+G945)</f>
        <v/>
      </c>
    </row>
    <row r="946" ht="24" customHeight="1" s="314">
      <c r="A946" s="249" t="inlineStr">
        <is>
          <t>📅  Senin, 22 Juni 2026</t>
        </is>
      </c>
      <c r="B946" s="5" t="n"/>
      <c r="C946" s="5" t="n"/>
      <c r="D946" s="5" t="n"/>
      <c r="E946" s="5" t="n"/>
      <c r="F946" s="5" t="n"/>
      <c r="G946" s="5" t="n"/>
      <c r="H946" s="5" t="n"/>
      <c r="I946" s="5" t="n"/>
      <c r="J946" s="4" t="inlineStr">
        <is>
          <t>dr. JOJO</t>
        </is>
      </c>
      <c r="K946" s="5" t="n"/>
    </row>
    <row r="947" ht="21.75" customHeight="1" s="314">
      <c r="A947" s="6">
        <f>IF(C947="","",1231)</f>
        <v/>
      </c>
      <c r="B947" s="7" t="n">
        <v>46195</v>
      </c>
      <c r="C947" s="8" t="n"/>
      <c r="D947" s="9" t="n"/>
      <c r="E947" s="10" t="inlineStr">
        <is>
          <t>▼</t>
        </is>
      </c>
      <c r="F947" s="10" t="inlineStr">
        <is>
          <t>▼</t>
        </is>
      </c>
      <c r="G947" s="9" t="n"/>
      <c r="H947" s="10" t="inlineStr">
        <is>
          <t>▼</t>
        </is>
      </c>
      <c r="I947" s="11">
        <f>IF(C947="","",D947+IF(F947="Ambil Obat",IF(G947="",0,G947),0))</f>
        <v/>
      </c>
      <c r="J947" s="12">
        <f>$J$946</f>
        <v/>
      </c>
      <c r="K947" s="13" t="inlineStr">
        <is>
          <t>▼</t>
        </is>
      </c>
    </row>
    <row r="948" ht="21.75" customHeight="1" s="314">
      <c r="A948" s="32">
        <f>IF(C948="","",1232)</f>
        <v/>
      </c>
      <c r="B948" s="7" t="n">
        <v>46195</v>
      </c>
      <c r="C948" s="14" t="n"/>
      <c r="D948" s="16" t="n"/>
      <c r="E948" s="15" t="inlineStr">
        <is>
          <t>▼</t>
        </is>
      </c>
      <c r="F948" s="15" t="inlineStr">
        <is>
          <t>▼</t>
        </is>
      </c>
      <c r="G948" s="16" t="n"/>
      <c r="H948" s="15" t="inlineStr">
        <is>
          <t>▼</t>
        </is>
      </c>
      <c r="I948" s="17">
        <f>IF(C948="","",D948+IF(F948="Ambil Obat",IF(G948="",0,G948),0))</f>
        <v/>
      </c>
      <c r="J948" s="12">
        <f>$J$946</f>
        <v/>
      </c>
      <c r="K948" s="18" t="inlineStr">
        <is>
          <t>▼</t>
        </is>
      </c>
    </row>
    <row r="949" ht="21.75" customHeight="1" s="314">
      <c r="A949" s="6">
        <f>IF(C949="","",1233)</f>
        <v/>
      </c>
      <c r="B949" s="7" t="n">
        <v>46195</v>
      </c>
      <c r="C949" s="8" t="n"/>
      <c r="D949" s="9" t="n"/>
      <c r="E949" s="10" t="inlineStr">
        <is>
          <t>▼</t>
        </is>
      </c>
      <c r="F949" s="10" t="inlineStr">
        <is>
          <t>▼</t>
        </is>
      </c>
      <c r="G949" s="9" t="n"/>
      <c r="H949" s="10" t="inlineStr">
        <is>
          <t>▼</t>
        </is>
      </c>
      <c r="I949" s="11">
        <f>IF(C949="","",D949+IF(F949="Ambil Obat",IF(G949="",0,G949),0))</f>
        <v/>
      </c>
      <c r="J949" s="12">
        <f>$J$946</f>
        <v/>
      </c>
      <c r="K949" s="13" t="inlineStr">
        <is>
          <t>▼</t>
        </is>
      </c>
    </row>
    <row r="950" ht="21.75" customHeight="1" s="314">
      <c r="A950" s="32">
        <f>IF(C950="","",1234)</f>
        <v/>
      </c>
      <c r="B950" s="7" t="n">
        <v>46195</v>
      </c>
      <c r="C950" s="14" t="n"/>
      <c r="D950" s="16" t="n"/>
      <c r="E950" s="15" t="inlineStr">
        <is>
          <t>▼</t>
        </is>
      </c>
      <c r="F950" s="15" t="inlineStr">
        <is>
          <t>▼</t>
        </is>
      </c>
      <c r="G950" s="16" t="n"/>
      <c r="H950" s="15" t="inlineStr">
        <is>
          <t>▼</t>
        </is>
      </c>
      <c r="I950" s="17">
        <f>IF(C950="","",D950+IF(F950="Ambil Obat",IF(G950="",0,G950),0))</f>
        <v/>
      </c>
      <c r="J950" s="12">
        <f>$J$946</f>
        <v/>
      </c>
      <c r="K950" s="18" t="inlineStr">
        <is>
          <t>▼</t>
        </is>
      </c>
    </row>
    <row r="951" ht="21.75" customHeight="1" s="314">
      <c r="A951" s="6">
        <f>IF(C951="","",1235)</f>
        <v/>
      </c>
      <c r="B951" s="7" t="n">
        <v>46195</v>
      </c>
      <c r="C951" s="8" t="n"/>
      <c r="D951" s="9" t="n"/>
      <c r="E951" s="10" t="inlineStr">
        <is>
          <t>▼</t>
        </is>
      </c>
      <c r="F951" s="10" t="inlineStr">
        <is>
          <t>▼</t>
        </is>
      </c>
      <c r="G951" s="9" t="n"/>
      <c r="H951" s="10" t="inlineStr">
        <is>
          <t>▼</t>
        </is>
      </c>
      <c r="I951" s="11">
        <f>IF(C951="","",D951+IF(F951="Ambil Obat",IF(G951="",0,G951),0))</f>
        <v/>
      </c>
      <c r="J951" s="12">
        <f>$J$946</f>
        <v/>
      </c>
      <c r="K951" s="13" t="inlineStr">
        <is>
          <t>▼</t>
        </is>
      </c>
    </row>
    <row r="952" ht="21.75" customHeight="1" s="314">
      <c r="A952" s="32">
        <f>IF(C952="","",1236)</f>
        <v/>
      </c>
      <c r="B952" s="7" t="n">
        <v>46195</v>
      </c>
      <c r="C952" s="14" t="n"/>
      <c r="D952" s="16" t="n"/>
      <c r="E952" s="15" t="inlineStr">
        <is>
          <t>▼</t>
        </is>
      </c>
      <c r="F952" s="15" t="inlineStr">
        <is>
          <t>▼</t>
        </is>
      </c>
      <c r="G952" s="16" t="n"/>
      <c r="H952" s="15" t="inlineStr">
        <is>
          <t>▼</t>
        </is>
      </c>
      <c r="I952" s="17">
        <f>IF(C952="","",D952+IF(F952="Ambil Obat",IF(G952="",0,G952),0))</f>
        <v/>
      </c>
      <c r="J952" s="12">
        <f>$J$946</f>
        <v/>
      </c>
      <c r="K952" s="18" t="inlineStr">
        <is>
          <t>▼</t>
        </is>
      </c>
    </row>
    <row r="953" ht="21.75" customHeight="1" s="314">
      <c r="A953" s="6">
        <f>IF(C953="","",1237)</f>
        <v/>
      </c>
      <c r="B953" s="7" t="n">
        <v>46195</v>
      </c>
      <c r="C953" s="8" t="n"/>
      <c r="D953" s="9" t="n"/>
      <c r="E953" s="10" t="inlineStr">
        <is>
          <t>▼</t>
        </is>
      </c>
      <c r="F953" s="10" t="inlineStr">
        <is>
          <t>▼</t>
        </is>
      </c>
      <c r="G953" s="9" t="n"/>
      <c r="H953" s="10" t="inlineStr">
        <is>
          <t>▼</t>
        </is>
      </c>
      <c r="I953" s="11">
        <f>IF(C953="","",D953+IF(F953="Ambil Obat",IF(G953="",0,G953),0))</f>
        <v/>
      </c>
      <c r="J953" s="12">
        <f>$J$946</f>
        <v/>
      </c>
      <c r="K953" s="13" t="inlineStr">
        <is>
          <t>▼</t>
        </is>
      </c>
    </row>
    <row r="954" ht="21.75" customHeight="1" s="314">
      <c r="A954" s="32">
        <f>IF(C954="","",1238)</f>
        <v/>
      </c>
      <c r="B954" s="7" t="n">
        <v>46195</v>
      </c>
      <c r="C954" s="14" t="n"/>
      <c r="D954" s="16" t="n"/>
      <c r="E954" s="15" t="inlineStr">
        <is>
          <t>▼</t>
        </is>
      </c>
      <c r="F954" s="15" t="inlineStr">
        <is>
          <t>▼</t>
        </is>
      </c>
      <c r="G954" s="16" t="n"/>
      <c r="H954" s="15" t="inlineStr">
        <is>
          <t>▼</t>
        </is>
      </c>
      <c r="I954" s="17">
        <f>IF(C954="","",D954+IF(F954="Ambil Obat",IF(G954="",0,G954),0))</f>
        <v/>
      </c>
      <c r="J954" s="12">
        <f>$J$946</f>
        <v/>
      </c>
      <c r="K954" s="18" t="inlineStr">
        <is>
          <t>▼</t>
        </is>
      </c>
    </row>
    <row r="955" ht="21.75" customHeight="1" s="314">
      <c r="A955" s="6">
        <f>IF(C955="","",1239)</f>
        <v/>
      </c>
      <c r="B955" s="7" t="n">
        <v>46195</v>
      </c>
      <c r="C955" s="8" t="n"/>
      <c r="D955" s="9" t="n"/>
      <c r="E955" s="10" t="inlineStr">
        <is>
          <t>▼</t>
        </is>
      </c>
      <c r="F955" s="10" t="inlineStr">
        <is>
          <t>▼</t>
        </is>
      </c>
      <c r="G955" s="9" t="n"/>
      <c r="H955" s="10" t="inlineStr">
        <is>
          <t>▼</t>
        </is>
      </c>
      <c r="I955" s="11">
        <f>IF(C955="","",D955+IF(F955="Ambil Obat",IF(G955="",0,G955),0))</f>
        <v/>
      </c>
      <c r="J955" s="12">
        <f>$J$946</f>
        <v/>
      </c>
      <c r="K955" s="13" t="inlineStr">
        <is>
          <t>▼</t>
        </is>
      </c>
    </row>
    <row r="956" ht="21.75" customHeight="1" s="314">
      <c r="A956" s="32">
        <f>IF(C956="","",1240)</f>
        <v/>
      </c>
      <c r="B956" s="7" t="n">
        <v>46195</v>
      </c>
      <c r="C956" s="14" t="n"/>
      <c r="D956" s="16" t="n"/>
      <c r="E956" s="15" t="inlineStr">
        <is>
          <t>▼</t>
        </is>
      </c>
      <c r="F956" s="15" t="inlineStr">
        <is>
          <t>▼</t>
        </is>
      </c>
      <c r="G956" s="16" t="n"/>
      <c r="H956" s="15" t="inlineStr">
        <is>
          <t>▼</t>
        </is>
      </c>
      <c r="I956" s="17">
        <f>IF(C956="","",D956+IF(F956="Ambil Obat",IF(G956="",0,G956),0))</f>
        <v/>
      </c>
      <c r="J956" s="12">
        <f>$J$946</f>
        <v/>
      </c>
      <c r="K956" s="18" t="inlineStr">
        <is>
          <t>▼</t>
        </is>
      </c>
    </row>
    <row r="957" ht="21.75" customHeight="1" s="314">
      <c r="A957" s="6">
        <f>IF(C957="","",1241)</f>
        <v/>
      </c>
      <c r="B957" s="7" t="n">
        <v>46195</v>
      </c>
      <c r="C957" s="8" t="n"/>
      <c r="D957" s="9" t="n"/>
      <c r="E957" s="10" t="inlineStr">
        <is>
          <t>▼</t>
        </is>
      </c>
      <c r="F957" s="10" t="inlineStr">
        <is>
          <t>▼</t>
        </is>
      </c>
      <c r="G957" s="9" t="n"/>
      <c r="H957" s="10" t="inlineStr">
        <is>
          <t>▼</t>
        </is>
      </c>
      <c r="I957" s="11">
        <f>IF(C957="","",D957+IF(F957="Ambil Obat",IF(G957="",0,G957),0))</f>
        <v/>
      </c>
      <c r="J957" s="12">
        <f>$J$946</f>
        <v/>
      </c>
      <c r="K957" s="13" t="inlineStr">
        <is>
          <t>▼</t>
        </is>
      </c>
    </row>
    <row r="958" ht="21.75" customHeight="1" s="314">
      <c r="A958" s="32">
        <f>IF(C958="","",1242)</f>
        <v/>
      </c>
      <c r="B958" s="7" t="n">
        <v>46195</v>
      </c>
      <c r="C958" s="14" t="n"/>
      <c r="D958" s="16" t="n"/>
      <c r="E958" s="15" t="inlineStr">
        <is>
          <t>▼</t>
        </is>
      </c>
      <c r="F958" s="15" t="inlineStr">
        <is>
          <t>▼</t>
        </is>
      </c>
      <c r="G958" s="16" t="n"/>
      <c r="H958" s="15" t="inlineStr">
        <is>
          <t>▼</t>
        </is>
      </c>
      <c r="I958" s="17">
        <f>IF(C958="","",D958+IF(F958="Ambil Obat",IF(G958="",0,G958),0))</f>
        <v/>
      </c>
      <c r="J958" s="12">
        <f>$J$946</f>
        <v/>
      </c>
      <c r="K958" s="18" t="inlineStr">
        <is>
          <t>▼</t>
        </is>
      </c>
    </row>
    <row r="959" ht="21.75" customHeight="1" s="314">
      <c r="A959" s="6">
        <f>IF(C959="","",1243)</f>
        <v/>
      </c>
      <c r="B959" s="7" t="n">
        <v>46195</v>
      </c>
      <c r="C959" s="8" t="n"/>
      <c r="D959" s="9" t="n"/>
      <c r="E959" s="10" t="inlineStr">
        <is>
          <t>▼</t>
        </is>
      </c>
      <c r="F959" s="10" t="inlineStr">
        <is>
          <t>▼</t>
        </is>
      </c>
      <c r="G959" s="9" t="n"/>
      <c r="H959" s="10" t="inlineStr">
        <is>
          <t>▼</t>
        </is>
      </c>
      <c r="I959" s="11">
        <f>IF(C959="","",D959+IF(F959="Ambil Obat",IF(G959="",0,G959),0))</f>
        <v/>
      </c>
      <c r="J959" s="12">
        <f>$J$946</f>
        <v/>
      </c>
      <c r="K959" s="13" t="inlineStr">
        <is>
          <t>▼</t>
        </is>
      </c>
    </row>
    <row r="960" ht="21.75" customHeight="1" s="314">
      <c r="A960" s="32">
        <f>IF(C960="","",1244)</f>
        <v/>
      </c>
      <c r="B960" s="7" t="n">
        <v>46195</v>
      </c>
      <c r="C960" s="14" t="n"/>
      <c r="D960" s="16" t="n"/>
      <c r="E960" s="15" t="inlineStr">
        <is>
          <t>▼</t>
        </is>
      </c>
      <c r="F960" s="15" t="inlineStr">
        <is>
          <t>▼</t>
        </is>
      </c>
      <c r="G960" s="16" t="n"/>
      <c r="H960" s="15" t="inlineStr">
        <is>
          <t>▼</t>
        </is>
      </c>
      <c r="I960" s="17">
        <f>IF(C960="","",D960+IF(F960="Ambil Obat",IF(G960="",0,G960),0))</f>
        <v/>
      </c>
      <c r="J960" s="12">
        <f>$J$946</f>
        <v/>
      </c>
      <c r="K960" s="18" t="inlineStr">
        <is>
          <t>▼</t>
        </is>
      </c>
    </row>
    <row r="961" ht="21.75" customHeight="1" s="314">
      <c r="A961" s="6">
        <f>IF(C961="","",1245)</f>
        <v/>
      </c>
      <c r="B961" s="7" t="n">
        <v>46195</v>
      </c>
      <c r="C961" s="8" t="n"/>
      <c r="D961" s="9" t="n"/>
      <c r="E961" s="10" t="inlineStr">
        <is>
          <t>▼</t>
        </is>
      </c>
      <c r="F961" s="10" t="inlineStr">
        <is>
          <t>▼</t>
        </is>
      </c>
      <c r="G961" s="9" t="n"/>
      <c r="H961" s="10" t="inlineStr">
        <is>
          <t>▼</t>
        </is>
      </c>
      <c r="I961" s="11">
        <f>IF(C961="","",D961+IF(F961="Ambil Obat",IF(G961="",0,G961),0))</f>
        <v/>
      </c>
      <c r="J961" s="12">
        <f>$J$946</f>
        <v/>
      </c>
      <c r="K961" s="13" t="inlineStr">
        <is>
          <t>▼</t>
        </is>
      </c>
    </row>
    <row r="962" ht="24" customHeight="1" s="314">
      <c r="A962" s="248">
        <f>IF(COUNTA(C947:C961)=0,"— belum ada data —","📊 Sub-total  "&amp; TEXT(B947,"DD MMM YYYY") &amp;"  ("&amp;COUNTA(C947:C961)&amp;" pasien)")</f>
        <v/>
      </c>
      <c r="B962" s="316" t="n"/>
      <c r="C962" s="316" t="n"/>
      <c r="D962" s="19">
        <f>IF(COUNTA(C947:C961)=0,"",SUM(D947:D961))</f>
        <v/>
      </c>
      <c r="E962" s="20">
        <f>IF(COUNTA(C947:C961)=0,"",SUMIF(E947:E961,"Cash",D947:D961))</f>
        <v/>
      </c>
      <c r="F962" s="21">
        <f>IF(COUNTA(C947:C961)=0,"",SUMIF(E947:E961,"Transfer Bank",D947:D961))</f>
        <v/>
      </c>
      <c r="G962" s="19">
        <f>IF(COUNTA(C947:C961)=0,"",SUMIF(F947:F961,"Ambil Obat",G947:G961))</f>
        <v/>
      </c>
      <c r="H962" s="20">
        <f>IF(COUNTA(C947:C961)=0,"",SUMIFS(G947:G961,H947:H961,"Cash",F947:F961,"Ambil Obat"))</f>
        <v/>
      </c>
      <c r="I962" s="21">
        <f>IF(COUNTA(C947:C961)=0,"",SUMIFS(G947:G961,H947:H961,"Transfer Bank",F947:F961,"Ambil Obat"))</f>
        <v/>
      </c>
      <c r="J962" s="22" t="n"/>
      <c r="K962" s="23">
        <f>IF(COUNTA(C947:C961)=0,"",D962+G962)</f>
        <v/>
      </c>
    </row>
    <row r="963" ht="24" customHeight="1" s="314">
      <c r="A963" s="249" t="inlineStr">
        <is>
          <t>📅  Selasa, 23 Juni 2026</t>
        </is>
      </c>
      <c r="B963" s="5" t="n"/>
      <c r="C963" s="5" t="n"/>
      <c r="D963" s="5" t="n"/>
      <c r="E963" s="5" t="n"/>
      <c r="F963" s="5" t="n"/>
      <c r="G963" s="5" t="n"/>
      <c r="H963" s="5" t="n"/>
      <c r="I963" s="5" t="n"/>
      <c r="J963" s="4" t="inlineStr">
        <is>
          <t>dr. HAWA</t>
        </is>
      </c>
      <c r="K963" s="5" t="n"/>
    </row>
    <row r="964" ht="21.75" customHeight="1" s="314">
      <c r="A964" s="6">
        <f>IF(C964="","",1246)</f>
        <v/>
      </c>
      <c r="B964" s="7" t="n">
        <v>46196</v>
      </c>
      <c r="C964" s="8" t="n"/>
      <c r="D964" s="9" t="n"/>
      <c r="E964" s="10" t="inlineStr">
        <is>
          <t>▼</t>
        </is>
      </c>
      <c r="F964" s="10" t="inlineStr">
        <is>
          <t>▼</t>
        </is>
      </c>
      <c r="G964" s="9" t="n"/>
      <c r="H964" s="10" t="inlineStr">
        <is>
          <t>▼</t>
        </is>
      </c>
      <c r="I964" s="11">
        <f>IF(C964="","",D964+IF(F964="Ambil Obat",IF(G964="",0,G964),0))</f>
        <v/>
      </c>
      <c r="J964" s="12">
        <f>$J$963</f>
        <v/>
      </c>
      <c r="K964" s="13" t="inlineStr">
        <is>
          <t>▼</t>
        </is>
      </c>
    </row>
    <row r="965" ht="21.75" customHeight="1" s="314">
      <c r="A965" s="32">
        <f>IF(C965="","",1247)</f>
        <v/>
      </c>
      <c r="B965" s="7" t="n">
        <v>46196</v>
      </c>
      <c r="C965" s="14" t="n"/>
      <c r="D965" s="16" t="n"/>
      <c r="E965" s="15" t="inlineStr">
        <is>
          <t>▼</t>
        </is>
      </c>
      <c r="F965" s="15" t="inlineStr">
        <is>
          <t>▼</t>
        </is>
      </c>
      <c r="G965" s="16" t="n"/>
      <c r="H965" s="15" t="inlineStr">
        <is>
          <t>▼</t>
        </is>
      </c>
      <c r="I965" s="17">
        <f>IF(C965="","",D965+IF(F965="Ambil Obat",IF(G965="",0,G965),0))</f>
        <v/>
      </c>
      <c r="J965" s="12">
        <f>$J$963</f>
        <v/>
      </c>
      <c r="K965" s="18" t="inlineStr">
        <is>
          <t>▼</t>
        </is>
      </c>
    </row>
    <row r="966" ht="21.75" customHeight="1" s="314">
      <c r="A966" s="6">
        <f>IF(C966="","",1248)</f>
        <v/>
      </c>
      <c r="B966" s="7" t="n">
        <v>46196</v>
      </c>
      <c r="C966" s="8" t="n"/>
      <c r="D966" s="9" t="n"/>
      <c r="E966" s="10" t="inlineStr">
        <is>
          <t>▼</t>
        </is>
      </c>
      <c r="F966" s="10" t="inlineStr">
        <is>
          <t>▼</t>
        </is>
      </c>
      <c r="G966" s="9" t="n"/>
      <c r="H966" s="10" t="inlineStr">
        <is>
          <t>▼</t>
        </is>
      </c>
      <c r="I966" s="11">
        <f>IF(C966="","",D966+IF(F966="Ambil Obat",IF(G966="",0,G966),0))</f>
        <v/>
      </c>
      <c r="J966" s="12">
        <f>$J$963</f>
        <v/>
      </c>
      <c r="K966" s="13" t="inlineStr">
        <is>
          <t>▼</t>
        </is>
      </c>
    </row>
    <row r="967" ht="21.75" customHeight="1" s="314">
      <c r="A967" s="32">
        <f>IF(C967="","",1249)</f>
        <v/>
      </c>
      <c r="B967" s="7" t="n">
        <v>46196</v>
      </c>
      <c r="C967" s="14" t="n"/>
      <c r="D967" s="16" t="n"/>
      <c r="E967" s="15" t="inlineStr">
        <is>
          <t>▼</t>
        </is>
      </c>
      <c r="F967" s="15" t="inlineStr">
        <is>
          <t>▼</t>
        </is>
      </c>
      <c r="G967" s="16" t="n"/>
      <c r="H967" s="15" t="inlineStr">
        <is>
          <t>▼</t>
        </is>
      </c>
      <c r="I967" s="17">
        <f>IF(C967="","",D967+IF(F967="Ambil Obat",IF(G967="",0,G967),0))</f>
        <v/>
      </c>
      <c r="J967" s="12">
        <f>$J$963</f>
        <v/>
      </c>
      <c r="K967" s="18" t="inlineStr">
        <is>
          <t>▼</t>
        </is>
      </c>
    </row>
    <row r="968" ht="21.75" customHeight="1" s="314">
      <c r="A968" s="6">
        <f>IF(C968="","",1250)</f>
        <v/>
      </c>
      <c r="B968" s="7" t="n">
        <v>46196</v>
      </c>
      <c r="C968" s="8" t="n"/>
      <c r="D968" s="9" t="n"/>
      <c r="E968" s="10" t="inlineStr">
        <is>
          <t>▼</t>
        </is>
      </c>
      <c r="F968" s="10" t="inlineStr">
        <is>
          <t>▼</t>
        </is>
      </c>
      <c r="G968" s="9" t="n"/>
      <c r="H968" s="10" t="inlineStr">
        <is>
          <t>▼</t>
        </is>
      </c>
      <c r="I968" s="11">
        <f>IF(C968="","",D968+IF(F968="Ambil Obat",IF(G968="",0,G968),0))</f>
        <v/>
      </c>
      <c r="J968" s="12">
        <f>$J$963</f>
        <v/>
      </c>
      <c r="K968" s="13" t="inlineStr">
        <is>
          <t>▼</t>
        </is>
      </c>
    </row>
    <row r="969" ht="21.75" customHeight="1" s="314">
      <c r="A969" s="32">
        <f>IF(C969="","",1251)</f>
        <v/>
      </c>
      <c r="B969" s="7" t="n">
        <v>46196</v>
      </c>
      <c r="C969" s="14" t="n"/>
      <c r="D969" s="16" t="n"/>
      <c r="E969" s="15" t="inlineStr">
        <is>
          <t>▼</t>
        </is>
      </c>
      <c r="F969" s="15" t="inlineStr">
        <is>
          <t>▼</t>
        </is>
      </c>
      <c r="G969" s="16" t="n"/>
      <c r="H969" s="15" t="inlineStr">
        <is>
          <t>▼</t>
        </is>
      </c>
      <c r="I969" s="17">
        <f>IF(C969="","",D969+IF(F969="Ambil Obat",IF(G969="",0,G969),0))</f>
        <v/>
      </c>
      <c r="J969" s="12">
        <f>$J$963</f>
        <v/>
      </c>
      <c r="K969" s="18" t="inlineStr">
        <is>
          <t>▼</t>
        </is>
      </c>
    </row>
    <row r="970" ht="21.75" customHeight="1" s="314">
      <c r="A970" s="6">
        <f>IF(C970="","",1252)</f>
        <v/>
      </c>
      <c r="B970" s="7" t="n">
        <v>46196</v>
      </c>
      <c r="C970" s="8" t="n"/>
      <c r="D970" s="9" t="n"/>
      <c r="E970" s="10" t="inlineStr">
        <is>
          <t>▼</t>
        </is>
      </c>
      <c r="F970" s="10" t="inlineStr">
        <is>
          <t>▼</t>
        </is>
      </c>
      <c r="G970" s="9" t="n"/>
      <c r="H970" s="10" t="inlineStr">
        <is>
          <t>▼</t>
        </is>
      </c>
      <c r="I970" s="11">
        <f>IF(C970="","",D970+IF(F970="Ambil Obat",IF(G970="",0,G970),0))</f>
        <v/>
      </c>
      <c r="J970" s="12">
        <f>$J$963</f>
        <v/>
      </c>
      <c r="K970" s="13" t="inlineStr">
        <is>
          <t>▼</t>
        </is>
      </c>
    </row>
    <row r="971" ht="21.75" customHeight="1" s="314">
      <c r="A971" s="32">
        <f>IF(C971="","",1253)</f>
        <v/>
      </c>
      <c r="B971" s="7" t="n">
        <v>46196</v>
      </c>
      <c r="C971" s="14" t="n"/>
      <c r="D971" s="16" t="n"/>
      <c r="E971" s="15" t="inlineStr">
        <is>
          <t>▼</t>
        </is>
      </c>
      <c r="F971" s="15" t="inlineStr">
        <is>
          <t>▼</t>
        </is>
      </c>
      <c r="G971" s="16" t="n"/>
      <c r="H971" s="15" t="inlineStr">
        <is>
          <t>▼</t>
        </is>
      </c>
      <c r="I971" s="17">
        <f>IF(C971="","",D971+IF(F971="Ambil Obat",IF(G971="",0,G971),0))</f>
        <v/>
      </c>
      <c r="J971" s="12">
        <f>$J$963</f>
        <v/>
      </c>
      <c r="K971" s="18" t="inlineStr">
        <is>
          <t>▼</t>
        </is>
      </c>
    </row>
    <row r="972" ht="21.75" customHeight="1" s="314">
      <c r="A972" s="6">
        <f>IF(C972="","",1254)</f>
        <v/>
      </c>
      <c r="B972" s="7" t="n">
        <v>46196</v>
      </c>
      <c r="C972" s="8" t="n"/>
      <c r="D972" s="9" t="n"/>
      <c r="E972" s="10" t="inlineStr">
        <is>
          <t>▼</t>
        </is>
      </c>
      <c r="F972" s="10" t="inlineStr">
        <is>
          <t>▼</t>
        </is>
      </c>
      <c r="G972" s="9" t="n"/>
      <c r="H972" s="10" t="inlineStr">
        <is>
          <t>▼</t>
        </is>
      </c>
      <c r="I972" s="11">
        <f>IF(C972="","",D972+IF(F972="Ambil Obat",IF(G972="",0,G972),0))</f>
        <v/>
      </c>
      <c r="J972" s="12">
        <f>$J$963</f>
        <v/>
      </c>
      <c r="K972" s="13" t="inlineStr">
        <is>
          <t>▼</t>
        </is>
      </c>
    </row>
    <row r="973" ht="21.75" customHeight="1" s="314">
      <c r="A973" s="32">
        <f>IF(C973="","",1255)</f>
        <v/>
      </c>
      <c r="B973" s="7" t="n">
        <v>46196</v>
      </c>
      <c r="C973" s="14" t="n"/>
      <c r="D973" s="16" t="n"/>
      <c r="E973" s="15" t="inlineStr">
        <is>
          <t>▼</t>
        </is>
      </c>
      <c r="F973" s="15" t="inlineStr">
        <is>
          <t>▼</t>
        </is>
      </c>
      <c r="G973" s="16" t="n"/>
      <c r="H973" s="15" t="inlineStr">
        <is>
          <t>▼</t>
        </is>
      </c>
      <c r="I973" s="17">
        <f>IF(C973="","",D973+IF(F973="Ambil Obat",IF(G973="",0,G973),0))</f>
        <v/>
      </c>
      <c r="J973" s="12">
        <f>$J$963</f>
        <v/>
      </c>
      <c r="K973" s="18" t="inlineStr">
        <is>
          <t>▼</t>
        </is>
      </c>
    </row>
    <row r="974" ht="21.75" customHeight="1" s="314">
      <c r="A974" s="6">
        <f>IF(C974="","",1256)</f>
        <v/>
      </c>
      <c r="B974" s="7" t="n">
        <v>46196</v>
      </c>
      <c r="C974" s="8" t="n"/>
      <c r="D974" s="9" t="n"/>
      <c r="E974" s="10" t="inlineStr">
        <is>
          <t>▼</t>
        </is>
      </c>
      <c r="F974" s="10" t="inlineStr">
        <is>
          <t>▼</t>
        </is>
      </c>
      <c r="G974" s="9" t="n"/>
      <c r="H974" s="10" t="inlineStr">
        <is>
          <t>▼</t>
        </is>
      </c>
      <c r="I974" s="11">
        <f>IF(C974="","",D974+IF(F974="Ambil Obat",IF(G974="",0,G974),0))</f>
        <v/>
      </c>
      <c r="J974" s="12">
        <f>$J$963</f>
        <v/>
      </c>
      <c r="K974" s="13" t="inlineStr">
        <is>
          <t>▼</t>
        </is>
      </c>
    </row>
    <row r="975" ht="21.75" customHeight="1" s="314">
      <c r="A975" s="32">
        <f>IF(C975="","",1257)</f>
        <v/>
      </c>
      <c r="B975" s="7" t="n">
        <v>46196</v>
      </c>
      <c r="C975" s="14" t="n"/>
      <c r="D975" s="16" t="n"/>
      <c r="E975" s="15" t="inlineStr">
        <is>
          <t>▼</t>
        </is>
      </c>
      <c r="F975" s="15" t="inlineStr">
        <is>
          <t>▼</t>
        </is>
      </c>
      <c r="G975" s="16" t="n"/>
      <c r="H975" s="15" t="inlineStr">
        <is>
          <t>▼</t>
        </is>
      </c>
      <c r="I975" s="17">
        <f>IF(C975="","",D975+IF(F975="Ambil Obat",IF(G975="",0,G975),0))</f>
        <v/>
      </c>
      <c r="J975" s="12">
        <f>$J$963</f>
        <v/>
      </c>
      <c r="K975" s="18" t="inlineStr">
        <is>
          <t>▼</t>
        </is>
      </c>
    </row>
    <row r="976" ht="21.75" customHeight="1" s="314">
      <c r="A976" s="6">
        <f>IF(C976="","",1258)</f>
        <v/>
      </c>
      <c r="B976" s="7" t="n">
        <v>46196</v>
      </c>
      <c r="C976" s="8" t="n"/>
      <c r="D976" s="9" t="n"/>
      <c r="E976" s="10" t="inlineStr">
        <is>
          <t>▼</t>
        </is>
      </c>
      <c r="F976" s="10" t="inlineStr">
        <is>
          <t>▼</t>
        </is>
      </c>
      <c r="G976" s="9" t="n"/>
      <c r="H976" s="10" t="inlineStr">
        <is>
          <t>▼</t>
        </is>
      </c>
      <c r="I976" s="11">
        <f>IF(C976="","",D976+IF(F976="Ambil Obat",IF(G976="",0,G976),0))</f>
        <v/>
      </c>
      <c r="J976" s="12">
        <f>$J$963</f>
        <v/>
      </c>
      <c r="K976" s="13" t="inlineStr">
        <is>
          <t>▼</t>
        </is>
      </c>
    </row>
    <row r="977" ht="21.75" customHeight="1" s="314">
      <c r="A977" s="32">
        <f>IF(C977="","",1259)</f>
        <v/>
      </c>
      <c r="B977" s="7" t="n">
        <v>46196</v>
      </c>
      <c r="C977" s="14" t="n"/>
      <c r="D977" s="16" t="n"/>
      <c r="E977" s="15" t="inlineStr">
        <is>
          <t>▼</t>
        </is>
      </c>
      <c r="F977" s="15" t="inlineStr">
        <is>
          <t>▼</t>
        </is>
      </c>
      <c r="G977" s="16" t="n"/>
      <c r="H977" s="15" t="inlineStr">
        <is>
          <t>▼</t>
        </is>
      </c>
      <c r="I977" s="17">
        <f>IF(C977="","",D977+IF(F977="Ambil Obat",IF(G977="",0,G977),0))</f>
        <v/>
      </c>
      <c r="J977" s="12">
        <f>$J$963</f>
        <v/>
      </c>
      <c r="K977" s="18" t="inlineStr">
        <is>
          <t>▼</t>
        </is>
      </c>
    </row>
    <row r="978" ht="21.75" customHeight="1" s="314">
      <c r="A978" s="6">
        <f>IF(C978="","",1260)</f>
        <v/>
      </c>
      <c r="B978" s="7" t="n">
        <v>46196</v>
      </c>
      <c r="C978" s="8" t="n"/>
      <c r="D978" s="9" t="n"/>
      <c r="E978" s="10" t="inlineStr">
        <is>
          <t>▼</t>
        </is>
      </c>
      <c r="F978" s="10" t="inlineStr">
        <is>
          <t>▼</t>
        </is>
      </c>
      <c r="G978" s="9" t="n"/>
      <c r="H978" s="10" t="inlineStr">
        <is>
          <t>▼</t>
        </is>
      </c>
      <c r="I978" s="11">
        <f>IF(C978="","",D978+IF(F978="Ambil Obat",IF(G978="",0,G978),0))</f>
        <v/>
      </c>
      <c r="J978" s="12">
        <f>$J$963</f>
        <v/>
      </c>
      <c r="K978" s="13" t="inlineStr">
        <is>
          <t>▼</t>
        </is>
      </c>
    </row>
    <row r="979" ht="24" customHeight="1" s="314">
      <c r="A979" s="248">
        <f>IF(COUNTA(C964:C978)=0,"— belum ada data —","📊 Sub-total  "&amp; TEXT(B964,"DD MMM YYYY") &amp;"  ("&amp;COUNTA(C964:C978)&amp;" pasien)")</f>
        <v/>
      </c>
      <c r="B979" s="316" t="n"/>
      <c r="C979" s="316" t="n"/>
      <c r="D979" s="19">
        <f>IF(COUNTA(C964:C978)=0,"",SUM(D964:D978))</f>
        <v/>
      </c>
      <c r="E979" s="20">
        <f>IF(COUNTA(C964:C978)=0,"",SUMIF(E964:E978,"Cash",D964:D978))</f>
        <v/>
      </c>
      <c r="F979" s="21">
        <f>IF(COUNTA(C964:C978)=0,"",SUMIF(E964:E978,"Transfer Bank",D964:D978))</f>
        <v/>
      </c>
      <c r="G979" s="19">
        <f>IF(COUNTA(C964:C978)=0,"",SUMIF(F964:F978,"Ambil Obat",G964:G978))</f>
        <v/>
      </c>
      <c r="H979" s="20">
        <f>IF(COUNTA(C964:C978)=0,"",SUMIFS(G964:G978,H964:H978,"Cash",F964:F978,"Ambil Obat"))</f>
        <v/>
      </c>
      <c r="I979" s="21">
        <f>IF(COUNTA(C964:C978)=0,"",SUMIFS(G964:G978,H964:H978,"Transfer Bank",F964:F978,"Ambil Obat"))</f>
        <v/>
      </c>
      <c r="J979" s="22" t="n"/>
      <c r="K979" s="23">
        <f>IF(COUNTA(C964:C978)=0,"",D979+G979)</f>
        <v/>
      </c>
    </row>
    <row r="980" ht="24" customHeight="1" s="314">
      <c r="A980" s="249" t="inlineStr">
        <is>
          <t>📅  Rabu, 24 Juni 2026</t>
        </is>
      </c>
      <c r="B980" s="5" t="n"/>
      <c r="C980" s="5" t="n"/>
      <c r="D980" s="5" t="n"/>
      <c r="E980" s="5" t="n"/>
      <c r="F980" s="5" t="n"/>
      <c r="G980" s="5" t="n"/>
      <c r="H980" s="5" t="n"/>
      <c r="I980" s="5" t="n"/>
      <c r="J980" s="4" t="inlineStr">
        <is>
          <t>dr. ARIF</t>
        </is>
      </c>
      <c r="K980" s="5" t="n"/>
    </row>
    <row r="981" ht="21.75" customHeight="1" s="314">
      <c r="A981" s="6">
        <f>IF(C981="","",1261)</f>
        <v/>
      </c>
      <c r="B981" s="7" t="n">
        <v>46197</v>
      </c>
      <c r="C981" s="8" t="n"/>
      <c r="D981" s="9" t="n"/>
      <c r="E981" s="10" t="inlineStr">
        <is>
          <t>▼</t>
        </is>
      </c>
      <c r="F981" s="10" t="inlineStr">
        <is>
          <t>▼</t>
        </is>
      </c>
      <c r="G981" s="9" t="n"/>
      <c r="H981" s="10" t="inlineStr">
        <is>
          <t>▼</t>
        </is>
      </c>
      <c r="I981" s="11">
        <f>IF(C981="","",D981+IF(F981="Ambil Obat",IF(G981="",0,G981),0))</f>
        <v/>
      </c>
      <c r="J981" s="12">
        <f>$J$980</f>
        <v/>
      </c>
      <c r="K981" s="13" t="inlineStr">
        <is>
          <t>▼</t>
        </is>
      </c>
    </row>
    <row r="982" ht="21.75" customHeight="1" s="314">
      <c r="A982" s="32">
        <f>IF(C982="","",1262)</f>
        <v/>
      </c>
      <c r="B982" s="7" t="n">
        <v>46197</v>
      </c>
      <c r="C982" s="14" t="n"/>
      <c r="D982" s="16" t="n"/>
      <c r="E982" s="15" t="inlineStr">
        <is>
          <t>▼</t>
        </is>
      </c>
      <c r="F982" s="15" t="inlineStr">
        <is>
          <t>▼</t>
        </is>
      </c>
      <c r="G982" s="16" t="n"/>
      <c r="H982" s="15" t="inlineStr">
        <is>
          <t>▼</t>
        </is>
      </c>
      <c r="I982" s="17">
        <f>IF(C982="","",D982+IF(F982="Ambil Obat",IF(G982="",0,G982),0))</f>
        <v/>
      </c>
      <c r="J982" s="12">
        <f>$J$980</f>
        <v/>
      </c>
      <c r="K982" s="18" t="inlineStr">
        <is>
          <t>▼</t>
        </is>
      </c>
    </row>
    <row r="983" ht="21.75" customHeight="1" s="314">
      <c r="A983" s="6">
        <f>IF(C983="","",1263)</f>
        <v/>
      </c>
      <c r="B983" s="7" t="n">
        <v>46197</v>
      </c>
      <c r="C983" s="8" t="n"/>
      <c r="D983" s="9" t="n"/>
      <c r="E983" s="10" t="inlineStr">
        <is>
          <t>▼</t>
        </is>
      </c>
      <c r="F983" s="10" t="inlineStr">
        <is>
          <t>▼</t>
        </is>
      </c>
      <c r="G983" s="9" t="n"/>
      <c r="H983" s="10" t="inlineStr">
        <is>
          <t>▼</t>
        </is>
      </c>
      <c r="I983" s="11">
        <f>IF(C983="","",D983+IF(F983="Ambil Obat",IF(G983="",0,G983),0))</f>
        <v/>
      </c>
      <c r="J983" s="12">
        <f>$J$980</f>
        <v/>
      </c>
      <c r="K983" s="13" t="inlineStr">
        <is>
          <t>▼</t>
        </is>
      </c>
    </row>
    <row r="984" ht="21.75" customHeight="1" s="314">
      <c r="A984" s="32">
        <f>IF(C984="","",1264)</f>
        <v/>
      </c>
      <c r="B984" s="7" t="n">
        <v>46197</v>
      </c>
      <c r="C984" s="14" t="n"/>
      <c r="D984" s="16" t="n"/>
      <c r="E984" s="15" t="inlineStr">
        <is>
          <t>▼</t>
        </is>
      </c>
      <c r="F984" s="15" t="inlineStr">
        <is>
          <t>▼</t>
        </is>
      </c>
      <c r="G984" s="16" t="n"/>
      <c r="H984" s="15" t="inlineStr">
        <is>
          <t>▼</t>
        </is>
      </c>
      <c r="I984" s="17">
        <f>IF(C984="","",D984+IF(F984="Ambil Obat",IF(G984="",0,G984),0))</f>
        <v/>
      </c>
      <c r="J984" s="12">
        <f>$J$980</f>
        <v/>
      </c>
      <c r="K984" s="18" t="inlineStr">
        <is>
          <t>▼</t>
        </is>
      </c>
    </row>
    <row r="985" ht="21.75" customHeight="1" s="314">
      <c r="A985" s="6">
        <f>IF(C985="","",1265)</f>
        <v/>
      </c>
      <c r="B985" s="7" t="n">
        <v>46197</v>
      </c>
      <c r="C985" s="8" t="n"/>
      <c r="D985" s="9" t="n"/>
      <c r="E985" s="10" t="inlineStr">
        <is>
          <t>▼</t>
        </is>
      </c>
      <c r="F985" s="10" t="inlineStr">
        <is>
          <t>▼</t>
        </is>
      </c>
      <c r="G985" s="9" t="n"/>
      <c r="H985" s="10" t="inlineStr">
        <is>
          <t>▼</t>
        </is>
      </c>
      <c r="I985" s="11">
        <f>IF(C985="","",D985+IF(F985="Ambil Obat",IF(G985="",0,G985),0))</f>
        <v/>
      </c>
      <c r="J985" s="12">
        <f>$J$980</f>
        <v/>
      </c>
      <c r="K985" s="13" t="inlineStr">
        <is>
          <t>▼</t>
        </is>
      </c>
    </row>
    <row r="986" ht="21.75" customHeight="1" s="314">
      <c r="A986" s="32">
        <f>IF(C986="","",1266)</f>
        <v/>
      </c>
      <c r="B986" s="7" t="n">
        <v>46197</v>
      </c>
      <c r="C986" s="14" t="n"/>
      <c r="D986" s="16" t="n"/>
      <c r="E986" s="15" t="inlineStr">
        <is>
          <t>▼</t>
        </is>
      </c>
      <c r="F986" s="15" t="inlineStr">
        <is>
          <t>▼</t>
        </is>
      </c>
      <c r="G986" s="16" t="n"/>
      <c r="H986" s="15" t="inlineStr">
        <is>
          <t>▼</t>
        </is>
      </c>
      <c r="I986" s="17">
        <f>IF(C986="","",D986+IF(F986="Ambil Obat",IF(G986="",0,G986),0))</f>
        <v/>
      </c>
      <c r="J986" s="12">
        <f>$J$980</f>
        <v/>
      </c>
      <c r="K986" s="18" t="inlineStr">
        <is>
          <t>▼</t>
        </is>
      </c>
    </row>
    <row r="987" ht="21.75" customHeight="1" s="314">
      <c r="A987" s="6">
        <f>IF(C987="","",1267)</f>
        <v/>
      </c>
      <c r="B987" s="7" t="n">
        <v>46197</v>
      </c>
      <c r="C987" s="8" t="n"/>
      <c r="D987" s="9" t="n"/>
      <c r="E987" s="10" t="inlineStr">
        <is>
          <t>▼</t>
        </is>
      </c>
      <c r="F987" s="10" t="inlineStr">
        <is>
          <t>▼</t>
        </is>
      </c>
      <c r="G987" s="9" t="n"/>
      <c r="H987" s="10" t="inlineStr">
        <is>
          <t>▼</t>
        </is>
      </c>
      <c r="I987" s="11">
        <f>IF(C987="","",D987+IF(F987="Ambil Obat",IF(G987="",0,G987),0))</f>
        <v/>
      </c>
      <c r="J987" s="12">
        <f>$J$980</f>
        <v/>
      </c>
      <c r="K987" s="13" t="inlineStr">
        <is>
          <t>▼</t>
        </is>
      </c>
    </row>
    <row r="988" ht="21.75" customHeight="1" s="314">
      <c r="A988" s="32">
        <f>IF(C988="","",1268)</f>
        <v/>
      </c>
      <c r="B988" s="7" t="n">
        <v>46197</v>
      </c>
      <c r="C988" s="14" t="n"/>
      <c r="D988" s="16" t="n"/>
      <c r="E988" s="15" t="inlineStr">
        <is>
          <t>▼</t>
        </is>
      </c>
      <c r="F988" s="15" t="inlineStr">
        <is>
          <t>▼</t>
        </is>
      </c>
      <c r="G988" s="16" t="n"/>
      <c r="H988" s="15" t="inlineStr">
        <is>
          <t>▼</t>
        </is>
      </c>
      <c r="I988" s="17">
        <f>IF(C988="","",D988+IF(F988="Ambil Obat",IF(G988="",0,G988),0))</f>
        <v/>
      </c>
      <c r="J988" s="12">
        <f>$J$980</f>
        <v/>
      </c>
      <c r="K988" s="18" t="inlineStr">
        <is>
          <t>▼</t>
        </is>
      </c>
    </row>
    <row r="989" ht="21.75" customHeight="1" s="314">
      <c r="A989" s="6">
        <f>IF(C989="","",1269)</f>
        <v/>
      </c>
      <c r="B989" s="7" t="n">
        <v>46197</v>
      </c>
      <c r="C989" s="8" t="n"/>
      <c r="D989" s="9" t="n"/>
      <c r="E989" s="10" t="inlineStr">
        <is>
          <t>▼</t>
        </is>
      </c>
      <c r="F989" s="10" t="inlineStr">
        <is>
          <t>▼</t>
        </is>
      </c>
      <c r="G989" s="9" t="n"/>
      <c r="H989" s="10" t="inlineStr">
        <is>
          <t>▼</t>
        </is>
      </c>
      <c r="I989" s="11">
        <f>IF(C989="","",D989+IF(F989="Ambil Obat",IF(G989="",0,G989),0))</f>
        <v/>
      </c>
      <c r="J989" s="12">
        <f>$J$980</f>
        <v/>
      </c>
      <c r="K989" s="13" t="inlineStr">
        <is>
          <t>▼</t>
        </is>
      </c>
    </row>
    <row r="990" ht="21.75" customHeight="1" s="314">
      <c r="A990" s="32">
        <f>IF(C990="","",1270)</f>
        <v/>
      </c>
      <c r="B990" s="7" t="n">
        <v>46197</v>
      </c>
      <c r="C990" s="14" t="n"/>
      <c r="D990" s="16" t="n"/>
      <c r="E990" s="15" t="inlineStr">
        <is>
          <t>▼</t>
        </is>
      </c>
      <c r="F990" s="15" t="inlineStr">
        <is>
          <t>▼</t>
        </is>
      </c>
      <c r="G990" s="16" t="n"/>
      <c r="H990" s="15" t="inlineStr">
        <is>
          <t>▼</t>
        </is>
      </c>
      <c r="I990" s="17">
        <f>IF(C990="","",D990+IF(F990="Ambil Obat",IF(G990="",0,G990),0))</f>
        <v/>
      </c>
      <c r="J990" s="12">
        <f>$J$980</f>
        <v/>
      </c>
      <c r="K990" s="18" t="inlineStr">
        <is>
          <t>▼</t>
        </is>
      </c>
    </row>
    <row r="991" ht="21.75" customHeight="1" s="314">
      <c r="A991" s="6">
        <f>IF(C991="","",1271)</f>
        <v/>
      </c>
      <c r="B991" s="7" t="n">
        <v>46197</v>
      </c>
      <c r="C991" s="8" t="n"/>
      <c r="D991" s="9" t="n"/>
      <c r="E991" s="10" t="inlineStr">
        <is>
          <t>▼</t>
        </is>
      </c>
      <c r="F991" s="10" t="inlineStr">
        <is>
          <t>▼</t>
        </is>
      </c>
      <c r="G991" s="9" t="n"/>
      <c r="H991" s="10" t="inlineStr">
        <is>
          <t>▼</t>
        </is>
      </c>
      <c r="I991" s="11">
        <f>IF(C991="","",D991+IF(F991="Ambil Obat",IF(G991="",0,G991),0))</f>
        <v/>
      </c>
      <c r="J991" s="12">
        <f>$J$980</f>
        <v/>
      </c>
      <c r="K991" s="13" t="inlineStr">
        <is>
          <t>▼</t>
        </is>
      </c>
    </row>
    <row r="992" ht="21.75" customHeight="1" s="314">
      <c r="A992" s="32">
        <f>IF(C992="","",1272)</f>
        <v/>
      </c>
      <c r="B992" s="7" t="n">
        <v>46197</v>
      </c>
      <c r="C992" s="14" t="n"/>
      <c r="D992" s="16" t="n"/>
      <c r="E992" s="15" t="inlineStr">
        <is>
          <t>▼</t>
        </is>
      </c>
      <c r="F992" s="15" t="inlineStr">
        <is>
          <t>▼</t>
        </is>
      </c>
      <c r="G992" s="16" t="n"/>
      <c r="H992" s="15" t="inlineStr">
        <is>
          <t>▼</t>
        </is>
      </c>
      <c r="I992" s="17">
        <f>IF(C992="","",D992+IF(F992="Ambil Obat",IF(G992="",0,G992),0))</f>
        <v/>
      </c>
      <c r="J992" s="12">
        <f>$J$980</f>
        <v/>
      </c>
      <c r="K992" s="18" t="inlineStr">
        <is>
          <t>▼</t>
        </is>
      </c>
    </row>
    <row r="993" ht="21.75" customHeight="1" s="314">
      <c r="A993" s="6">
        <f>IF(C993="","",1273)</f>
        <v/>
      </c>
      <c r="B993" s="7" t="n">
        <v>46197</v>
      </c>
      <c r="C993" s="8" t="n"/>
      <c r="D993" s="9" t="n"/>
      <c r="E993" s="10" t="inlineStr">
        <is>
          <t>▼</t>
        </is>
      </c>
      <c r="F993" s="10" t="inlineStr">
        <is>
          <t>▼</t>
        </is>
      </c>
      <c r="G993" s="9" t="n"/>
      <c r="H993" s="10" t="inlineStr">
        <is>
          <t>▼</t>
        </is>
      </c>
      <c r="I993" s="11">
        <f>IF(C993="","",D993+IF(F993="Ambil Obat",IF(G993="",0,G993),0))</f>
        <v/>
      </c>
      <c r="J993" s="12">
        <f>$J$980</f>
        <v/>
      </c>
      <c r="K993" s="13" t="inlineStr">
        <is>
          <t>▼</t>
        </is>
      </c>
    </row>
    <row r="994" ht="21.75" customHeight="1" s="314">
      <c r="A994" s="32">
        <f>IF(C994="","",1274)</f>
        <v/>
      </c>
      <c r="B994" s="7" t="n">
        <v>46197</v>
      </c>
      <c r="C994" s="14" t="n"/>
      <c r="D994" s="16" t="n"/>
      <c r="E994" s="15" t="inlineStr">
        <is>
          <t>▼</t>
        </is>
      </c>
      <c r="F994" s="15" t="inlineStr">
        <is>
          <t>▼</t>
        </is>
      </c>
      <c r="G994" s="16" t="n"/>
      <c r="H994" s="15" t="inlineStr">
        <is>
          <t>▼</t>
        </is>
      </c>
      <c r="I994" s="17">
        <f>IF(C994="","",D994+IF(F994="Ambil Obat",IF(G994="",0,G994),0))</f>
        <v/>
      </c>
      <c r="J994" s="12">
        <f>$J$980</f>
        <v/>
      </c>
      <c r="K994" s="18" t="inlineStr">
        <is>
          <t>▼</t>
        </is>
      </c>
    </row>
    <row r="995" ht="21.75" customHeight="1" s="314">
      <c r="A995" s="6">
        <f>IF(C995="","",1275)</f>
        <v/>
      </c>
      <c r="B995" s="7" t="n">
        <v>46197</v>
      </c>
      <c r="C995" s="8" t="n"/>
      <c r="D995" s="9" t="n"/>
      <c r="E995" s="10" t="inlineStr">
        <is>
          <t>▼</t>
        </is>
      </c>
      <c r="F995" s="10" t="inlineStr">
        <is>
          <t>▼</t>
        </is>
      </c>
      <c r="G995" s="9" t="n"/>
      <c r="H995" s="10" t="inlineStr">
        <is>
          <t>▼</t>
        </is>
      </c>
      <c r="I995" s="11">
        <f>IF(C995="","",D995+IF(F995="Ambil Obat",IF(G995="",0,G995),0))</f>
        <v/>
      </c>
      <c r="J995" s="12">
        <f>$J$980</f>
        <v/>
      </c>
      <c r="K995" s="13" t="inlineStr">
        <is>
          <t>▼</t>
        </is>
      </c>
    </row>
    <row r="996" ht="24" customHeight="1" s="314">
      <c r="A996" s="248">
        <f>IF(COUNTA(C981:C995)=0,"— belum ada data —","📊 Sub-total  "&amp; TEXT(B981,"DD MMM YYYY") &amp;"  ("&amp;COUNTA(C981:C995)&amp;" pasien)")</f>
        <v/>
      </c>
      <c r="B996" s="316" t="n"/>
      <c r="C996" s="316" t="n"/>
      <c r="D996" s="19">
        <f>IF(COUNTA(C981:C995)=0,"",SUM(D981:D995))</f>
        <v/>
      </c>
      <c r="E996" s="20">
        <f>IF(COUNTA(C981:C995)=0,"",SUMIF(E981:E995,"Cash",D981:D995))</f>
        <v/>
      </c>
      <c r="F996" s="21">
        <f>IF(COUNTA(C981:C995)=0,"",SUMIF(E981:E995,"Transfer Bank",D981:D995))</f>
        <v/>
      </c>
      <c r="G996" s="19">
        <f>IF(COUNTA(C981:C995)=0,"",SUMIF(F981:F995,"Ambil Obat",G981:G995))</f>
        <v/>
      </c>
      <c r="H996" s="20">
        <f>IF(COUNTA(C981:C995)=0,"",SUMIFS(G981:G995,H981:H995,"Cash",F981:F995,"Ambil Obat"))</f>
        <v/>
      </c>
      <c r="I996" s="21">
        <f>IF(COUNTA(C981:C995)=0,"",SUMIFS(G981:G995,H981:H995,"Transfer Bank",F981:F995,"Ambil Obat"))</f>
        <v/>
      </c>
      <c r="J996" s="22" t="n"/>
      <c r="K996" s="23">
        <f>IF(COUNTA(C981:C995)=0,"",D996+G996)</f>
        <v/>
      </c>
    </row>
    <row r="997" ht="24" customHeight="1" s="314">
      <c r="A997" s="249" t="inlineStr">
        <is>
          <t>📅  Kamis, 25 Juni 2026</t>
        </is>
      </c>
      <c r="B997" s="5" t="n"/>
      <c r="C997" s="5" t="n"/>
      <c r="D997" s="5" t="n"/>
      <c r="E997" s="5" t="n"/>
      <c r="F997" s="5" t="n"/>
      <c r="G997" s="5" t="n"/>
      <c r="H997" s="5" t="n"/>
      <c r="I997" s="5" t="n"/>
      <c r="J997" s="4" t="inlineStr">
        <is>
          <t>dr. ARIF</t>
        </is>
      </c>
      <c r="K997" s="5" t="n"/>
    </row>
    <row r="998" ht="21.75" customHeight="1" s="314">
      <c r="A998" s="6">
        <f>IF(C998="","",1276)</f>
        <v/>
      </c>
      <c r="B998" s="7" t="n">
        <v>46198</v>
      </c>
      <c r="C998" s="8" t="n"/>
      <c r="D998" s="9" t="n"/>
      <c r="E998" s="10" t="inlineStr">
        <is>
          <t>▼</t>
        </is>
      </c>
      <c r="F998" s="10" t="inlineStr">
        <is>
          <t>▼</t>
        </is>
      </c>
      <c r="G998" s="9" t="n"/>
      <c r="H998" s="10" t="inlineStr">
        <is>
          <t>▼</t>
        </is>
      </c>
      <c r="I998" s="11">
        <f>IF(C998="","",D998+IF(F998="Ambil Obat",IF(G998="",0,G998),0))</f>
        <v/>
      </c>
      <c r="J998" s="12">
        <f>$J$997</f>
        <v/>
      </c>
      <c r="K998" s="13" t="inlineStr">
        <is>
          <t>▼</t>
        </is>
      </c>
    </row>
    <row r="999" ht="21.75" customHeight="1" s="314">
      <c r="A999" s="32">
        <f>IF(C999="","",1277)</f>
        <v/>
      </c>
      <c r="B999" s="7" t="n">
        <v>46198</v>
      </c>
      <c r="C999" s="14" t="n"/>
      <c r="D999" s="16" t="n"/>
      <c r="E999" s="15" t="inlineStr">
        <is>
          <t>▼</t>
        </is>
      </c>
      <c r="F999" s="15" t="inlineStr">
        <is>
          <t>▼</t>
        </is>
      </c>
      <c r="G999" s="16" t="n"/>
      <c r="H999" s="15" t="inlineStr">
        <is>
          <t>▼</t>
        </is>
      </c>
      <c r="I999" s="17">
        <f>IF(C999="","",D999+IF(F999="Ambil Obat",IF(G999="",0,G999),0))</f>
        <v/>
      </c>
      <c r="J999" s="12">
        <f>$J$997</f>
        <v/>
      </c>
      <c r="K999" s="18" t="inlineStr">
        <is>
          <t>▼</t>
        </is>
      </c>
    </row>
    <row r="1000" ht="21.75" customHeight="1" s="314">
      <c r="A1000" s="6">
        <f>IF(C1000="","",1278)</f>
        <v/>
      </c>
      <c r="B1000" s="7" t="n">
        <v>46198</v>
      </c>
      <c r="C1000" s="8" t="n"/>
      <c r="D1000" s="9" t="n"/>
      <c r="E1000" s="10" t="inlineStr">
        <is>
          <t>▼</t>
        </is>
      </c>
      <c r="F1000" s="10" t="inlineStr">
        <is>
          <t>▼</t>
        </is>
      </c>
      <c r="G1000" s="9" t="n"/>
      <c r="H1000" s="10" t="inlineStr">
        <is>
          <t>▼</t>
        </is>
      </c>
      <c r="I1000" s="11">
        <f>IF(C1000="","",D1000+IF(F1000="Ambil Obat",IF(G1000="",0,G1000),0))</f>
        <v/>
      </c>
      <c r="J1000" s="12">
        <f>$J$997</f>
        <v/>
      </c>
      <c r="K1000" s="13" t="inlineStr">
        <is>
          <t>▼</t>
        </is>
      </c>
    </row>
    <row r="1001" ht="21.75" customHeight="1" s="314">
      <c r="A1001" s="32">
        <f>IF(C1001="","",1279)</f>
        <v/>
      </c>
      <c r="B1001" s="7" t="n">
        <v>46198</v>
      </c>
      <c r="C1001" s="14" t="n"/>
      <c r="D1001" s="16" t="n"/>
      <c r="E1001" s="15" t="inlineStr">
        <is>
          <t>▼</t>
        </is>
      </c>
      <c r="F1001" s="15" t="inlineStr">
        <is>
          <t>▼</t>
        </is>
      </c>
      <c r="G1001" s="16" t="n"/>
      <c r="H1001" s="15" t="inlineStr">
        <is>
          <t>▼</t>
        </is>
      </c>
      <c r="I1001" s="17">
        <f>IF(C1001="","",D1001+IF(F1001="Ambil Obat",IF(G1001="",0,G1001),0))</f>
        <v/>
      </c>
      <c r="J1001" s="12">
        <f>$J$997</f>
        <v/>
      </c>
      <c r="K1001" s="18" t="inlineStr">
        <is>
          <t>▼</t>
        </is>
      </c>
    </row>
    <row r="1002" ht="21.75" customHeight="1" s="314">
      <c r="A1002" s="6">
        <f>IF(C1002="","",1280)</f>
        <v/>
      </c>
      <c r="B1002" s="7" t="n">
        <v>46198</v>
      </c>
      <c r="C1002" s="8" t="n"/>
      <c r="D1002" s="9" t="n"/>
      <c r="E1002" s="10" t="inlineStr">
        <is>
          <t>▼</t>
        </is>
      </c>
      <c r="F1002" s="10" t="inlineStr">
        <is>
          <t>▼</t>
        </is>
      </c>
      <c r="G1002" s="9" t="n"/>
      <c r="H1002" s="10" t="inlineStr">
        <is>
          <t>▼</t>
        </is>
      </c>
      <c r="I1002" s="11">
        <f>IF(C1002="","",D1002+IF(F1002="Ambil Obat",IF(G1002="",0,G1002),0))</f>
        <v/>
      </c>
      <c r="J1002" s="12">
        <f>$J$997</f>
        <v/>
      </c>
      <c r="K1002" s="13" t="inlineStr">
        <is>
          <t>▼</t>
        </is>
      </c>
    </row>
    <row r="1003" ht="21.75" customHeight="1" s="314">
      <c r="A1003" s="32">
        <f>IF(C1003="","",1281)</f>
        <v/>
      </c>
      <c r="B1003" s="7" t="n">
        <v>46198</v>
      </c>
      <c r="C1003" s="14" t="n"/>
      <c r="D1003" s="16" t="n"/>
      <c r="E1003" s="15" t="inlineStr">
        <is>
          <t>▼</t>
        </is>
      </c>
      <c r="F1003" s="15" t="inlineStr">
        <is>
          <t>▼</t>
        </is>
      </c>
      <c r="G1003" s="16" t="n"/>
      <c r="H1003" s="15" t="inlineStr">
        <is>
          <t>▼</t>
        </is>
      </c>
      <c r="I1003" s="17">
        <f>IF(C1003="","",D1003+IF(F1003="Ambil Obat",IF(G1003="",0,G1003),0))</f>
        <v/>
      </c>
      <c r="J1003" s="12">
        <f>$J$997</f>
        <v/>
      </c>
      <c r="K1003" s="18" t="inlineStr">
        <is>
          <t>▼</t>
        </is>
      </c>
    </row>
    <row r="1004" ht="21.75" customHeight="1" s="314">
      <c r="A1004" s="6">
        <f>IF(C1004="","",1282)</f>
        <v/>
      </c>
      <c r="B1004" s="7" t="n">
        <v>46198</v>
      </c>
      <c r="C1004" s="8" t="n"/>
      <c r="D1004" s="9" t="n"/>
      <c r="E1004" s="10" t="inlineStr">
        <is>
          <t>▼</t>
        </is>
      </c>
      <c r="F1004" s="10" t="inlineStr">
        <is>
          <t>▼</t>
        </is>
      </c>
      <c r="G1004" s="9" t="n"/>
      <c r="H1004" s="10" t="inlineStr">
        <is>
          <t>▼</t>
        </is>
      </c>
      <c r="I1004" s="11">
        <f>IF(C1004="","",D1004+IF(F1004="Ambil Obat",IF(G1004="",0,G1004),0))</f>
        <v/>
      </c>
      <c r="J1004" s="12">
        <f>$J$997</f>
        <v/>
      </c>
      <c r="K1004" s="13" t="inlineStr">
        <is>
          <t>▼</t>
        </is>
      </c>
    </row>
    <row r="1005" ht="21.75" customHeight="1" s="314">
      <c r="A1005" s="32">
        <f>IF(C1005="","",1283)</f>
        <v/>
      </c>
      <c r="B1005" s="7" t="n">
        <v>46198</v>
      </c>
      <c r="C1005" s="14" t="n"/>
      <c r="D1005" s="16" t="n"/>
      <c r="E1005" s="15" t="inlineStr">
        <is>
          <t>▼</t>
        </is>
      </c>
      <c r="F1005" s="15" t="inlineStr">
        <is>
          <t>▼</t>
        </is>
      </c>
      <c r="G1005" s="16" t="n"/>
      <c r="H1005" s="15" t="inlineStr">
        <is>
          <t>▼</t>
        </is>
      </c>
      <c r="I1005" s="17">
        <f>IF(C1005="","",D1005+IF(F1005="Ambil Obat",IF(G1005="",0,G1005),0))</f>
        <v/>
      </c>
      <c r="J1005" s="12">
        <f>$J$997</f>
        <v/>
      </c>
      <c r="K1005" s="18" t="inlineStr">
        <is>
          <t>▼</t>
        </is>
      </c>
    </row>
    <row r="1006" ht="21.75" customHeight="1" s="314">
      <c r="A1006" s="6">
        <f>IF(C1006="","",1284)</f>
        <v/>
      </c>
      <c r="B1006" s="7" t="n">
        <v>46198</v>
      </c>
      <c r="C1006" s="8" t="n"/>
      <c r="D1006" s="9" t="n"/>
      <c r="E1006" s="10" t="inlineStr">
        <is>
          <t>▼</t>
        </is>
      </c>
      <c r="F1006" s="10" t="inlineStr">
        <is>
          <t>▼</t>
        </is>
      </c>
      <c r="G1006" s="9" t="n"/>
      <c r="H1006" s="10" t="inlineStr">
        <is>
          <t>▼</t>
        </is>
      </c>
      <c r="I1006" s="11">
        <f>IF(C1006="","",D1006+IF(F1006="Ambil Obat",IF(G1006="",0,G1006),0))</f>
        <v/>
      </c>
      <c r="J1006" s="12">
        <f>$J$997</f>
        <v/>
      </c>
      <c r="K1006" s="13" t="inlineStr">
        <is>
          <t>▼</t>
        </is>
      </c>
    </row>
    <row r="1007" ht="21.75" customHeight="1" s="314">
      <c r="A1007" s="32">
        <f>IF(C1007="","",1285)</f>
        <v/>
      </c>
      <c r="B1007" s="7" t="n">
        <v>46198</v>
      </c>
      <c r="C1007" s="14" t="n"/>
      <c r="D1007" s="16" t="n"/>
      <c r="E1007" s="15" t="inlineStr">
        <is>
          <t>▼</t>
        </is>
      </c>
      <c r="F1007" s="15" t="inlineStr">
        <is>
          <t>▼</t>
        </is>
      </c>
      <c r="G1007" s="16" t="n"/>
      <c r="H1007" s="15" t="inlineStr">
        <is>
          <t>▼</t>
        </is>
      </c>
      <c r="I1007" s="17">
        <f>IF(C1007="","",D1007+IF(F1007="Ambil Obat",IF(G1007="",0,G1007),0))</f>
        <v/>
      </c>
      <c r="J1007" s="12">
        <f>$J$997</f>
        <v/>
      </c>
      <c r="K1007" s="18" t="inlineStr">
        <is>
          <t>▼</t>
        </is>
      </c>
    </row>
    <row r="1008" ht="21.75" customHeight="1" s="314">
      <c r="A1008" s="6">
        <f>IF(C1008="","",1286)</f>
        <v/>
      </c>
      <c r="B1008" s="7" t="n">
        <v>46198</v>
      </c>
      <c r="C1008" s="8" t="n"/>
      <c r="D1008" s="9" t="n"/>
      <c r="E1008" s="10" t="inlineStr">
        <is>
          <t>▼</t>
        </is>
      </c>
      <c r="F1008" s="10" t="inlineStr">
        <is>
          <t>▼</t>
        </is>
      </c>
      <c r="G1008" s="9" t="n"/>
      <c r="H1008" s="10" t="inlineStr">
        <is>
          <t>▼</t>
        </is>
      </c>
      <c r="I1008" s="11">
        <f>IF(C1008="","",D1008+IF(F1008="Ambil Obat",IF(G1008="",0,G1008),0))</f>
        <v/>
      </c>
      <c r="J1008" s="12">
        <f>$J$997</f>
        <v/>
      </c>
      <c r="K1008" s="13" t="inlineStr">
        <is>
          <t>▼</t>
        </is>
      </c>
    </row>
    <row r="1009" ht="21.75" customHeight="1" s="314">
      <c r="A1009" s="32">
        <f>IF(C1009="","",1287)</f>
        <v/>
      </c>
      <c r="B1009" s="7" t="n">
        <v>46198</v>
      </c>
      <c r="C1009" s="14" t="n"/>
      <c r="D1009" s="16" t="n"/>
      <c r="E1009" s="15" t="inlineStr">
        <is>
          <t>▼</t>
        </is>
      </c>
      <c r="F1009" s="15" t="inlineStr">
        <is>
          <t>▼</t>
        </is>
      </c>
      <c r="G1009" s="16" t="n"/>
      <c r="H1009" s="15" t="inlineStr">
        <is>
          <t>▼</t>
        </is>
      </c>
      <c r="I1009" s="17">
        <f>IF(C1009="","",D1009+IF(F1009="Ambil Obat",IF(G1009="",0,G1009),0))</f>
        <v/>
      </c>
      <c r="J1009" s="12">
        <f>$J$997</f>
        <v/>
      </c>
      <c r="K1009" s="18" t="inlineStr">
        <is>
          <t>▼</t>
        </is>
      </c>
    </row>
    <row r="1010" ht="21.75" customHeight="1" s="314">
      <c r="A1010" s="6">
        <f>IF(C1010="","",1288)</f>
        <v/>
      </c>
      <c r="B1010" s="7" t="n">
        <v>46198</v>
      </c>
      <c r="C1010" s="8" t="n"/>
      <c r="D1010" s="9" t="n"/>
      <c r="E1010" s="10" t="inlineStr">
        <is>
          <t>▼</t>
        </is>
      </c>
      <c r="F1010" s="10" t="inlineStr">
        <is>
          <t>▼</t>
        </is>
      </c>
      <c r="G1010" s="9" t="n"/>
      <c r="H1010" s="10" t="inlineStr">
        <is>
          <t>▼</t>
        </is>
      </c>
      <c r="I1010" s="11">
        <f>IF(C1010="","",D1010+IF(F1010="Ambil Obat",IF(G1010="",0,G1010),0))</f>
        <v/>
      </c>
      <c r="J1010" s="12">
        <f>$J$997</f>
        <v/>
      </c>
      <c r="K1010" s="13" t="inlineStr">
        <is>
          <t>▼</t>
        </is>
      </c>
    </row>
    <row r="1011" ht="21.75" customHeight="1" s="314">
      <c r="A1011" s="32">
        <f>IF(C1011="","",1289)</f>
        <v/>
      </c>
      <c r="B1011" s="7" t="n">
        <v>46198</v>
      </c>
      <c r="C1011" s="14" t="n"/>
      <c r="D1011" s="16" t="n"/>
      <c r="E1011" s="15" t="inlineStr">
        <is>
          <t>▼</t>
        </is>
      </c>
      <c r="F1011" s="15" t="inlineStr">
        <is>
          <t>▼</t>
        </is>
      </c>
      <c r="G1011" s="16" t="n"/>
      <c r="H1011" s="15" t="inlineStr">
        <is>
          <t>▼</t>
        </is>
      </c>
      <c r="I1011" s="17">
        <f>IF(C1011="","",D1011+IF(F1011="Ambil Obat",IF(G1011="",0,G1011),0))</f>
        <v/>
      </c>
      <c r="J1011" s="12">
        <f>$J$997</f>
        <v/>
      </c>
      <c r="K1011" s="18" t="inlineStr">
        <is>
          <t>▼</t>
        </is>
      </c>
    </row>
    <row r="1012" ht="21.75" customHeight="1" s="314">
      <c r="A1012" s="6">
        <f>IF(C1012="","",1290)</f>
        <v/>
      </c>
      <c r="B1012" s="7" t="n">
        <v>46198</v>
      </c>
      <c r="C1012" s="8" t="n"/>
      <c r="D1012" s="9" t="n"/>
      <c r="E1012" s="10" t="inlineStr">
        <is>
          <t>▼</t>
        </is>
      </c>
      <c r="F1012" s="10" t="inlineStr">
        <is>
          <t>▼</t>
        </is>
      </c>
      <c r="G1012" s="9" t="n"/>
      <c r="H1012" s="10" t="inlineStr">
        <is>
          <t>▼</t>
        </is>
      </c>
      <c r="I1012" s="11">
        <f>IF(C1012="","",D1012+IF(F1012="Ambil Obat",IF(G1012="",0,G1012),0))</f>
        <v/>
      </c>
      <c r="J1012" s="12">
        <f>$J$997</f>
        <v/>
      </c>
      <c r="K1012" s="13" t="inlineStr">
        <is>
          <t>▼</t>
        </is>
      </c>
    </row>
    <row r="1013" ht="24" customHeight="1" s="314">
      <c r="A1013" s="248">
        <f>IF(COUNTA(C998:C1012)=0,"— belum ada data —","📊 Sub-total  "&amp; TEXT(B998,"DD MMM YYYY") &amp;"  ("&amp;COUNTA(C998:C1012)&amp;" pasien)")</f>
        <v/>
      </c>
      <c r="B1013" s="316" t="n"/>
      <c r="C1013" s="316" t="n"/>
      <c r="D1013" s="19">
        <f>IF(COUNTA(C998:C1012)=0,"",SUM(D998:D1012))</f>
        <v/>
      </c>
      <c r="E1013" s="20">
        <f>IF(COUNTA(C998:C1012)=0,"",SUMIF(E998:E1012,"Cash",D998:D1012))</f>
        <v/>
      </c>
      <c r="F1013" s="21">
        <f>IF(COUNTA(C998:C1012)=0,"",SUMIF(E998:E1012,"Transfer Bank",D998:D1012))</f>
        <v/>
      </c>
      <c r="G1013" s="19">
        <f>IF(COUNTA(C998:C1012)=0,"",SUMIF(F998:F1012,"Ambil Obat",G998:G1012))</f>
        <v/>
      </c>
      <c r="H1013" s="20">
        <f>IF(COUNTA(C998:C1012)=0,"",SUMIFS(G998:G1012,H998:H1012,"Cash",F998:F1012,"Ambil Obat"))</f>
        <v/>
      </c>
      <c r="I1013" s="21">
        <f>IF(COUNTA(C998:C1012)=0,"",SUMIFS(G998:G1012,H998:H1012,"Transfer Bank",F998:F1012,"Ambil Obat"))</f>
        <v/>
      </c>
      <c r="J1013" s="22" t="n"/>
      <c r="K1013" s="23">
        <f>IF(COUNTA(C998:C1012)=0,"",D1013+G1013)</f>
        <v/>
      </c>
    </row>
    <row r="1014" ht="24" customHeight="1" s="314">
      <c r="A1014" s="249" t="inlineStr">
        <is>
          <t>📅  Jumat, 26 Juni 2026</t>
        </is>
      </c>
      <c r="B1014" s="5" t="n"/>
      <c r="C1014" s="5" t="n"/>
      <c r="D1014" s="5" t="n"/>
      <c r="E1014" s="5" t="n"/>
      <c r="F1014" s="5" t="n"/>
      <c r="G1014" s="5" t="n"/>
      <c r="H1014" s="5" t="n"/>
      <c r="I1014" s="5" t="n"/>
      <c r="J1014" s="4" t="inlineStr">
        <is>
          <t>dr. JOJO</t>
        </is>
      </c>
      <c r="K1014" s="5" t="n"/>
    </row>
    <row r="1015" ht="21.75" customHeight="1" s="314">
      <c r="A1015" s="6">
        <f>IF(C1015="","",1291)</f>
        <v/>
      </c>
      <c r="B1015" s="7" t="n">
        <v>46199</v>
      </c>
      <c r="C1015" s="8" t="n"/>
      <c r="D1015" s="9" t="n"/>
      <c r="E1015" s="10" t="inlineStr">
        <is>
          <t>▼</t>
        </is>
      </c>
      <c r="F1015" s="10" t="inlineStr">
        <is>
          <t>▼</t>
        </is>
      </c>
      <c r="G1015" s="9" t="n"/>
      <c r="H1015" s="10" t="inlineStr">
        <is>
          <t>▼</t>
        </is>
      </c>
      <c r="I1015" s="11">
        <f>IF(C1015="","",D1015+IF(F1015="Ambil Obat",IF(G1015="",0,G1015),0))</f>
        <v/>
      </c>
      <c r="J1015" s="12">
        <f>$J$1014</f>
        <v/>
      </c>
      <c r="K1015" s="13" t="inlineStr">
        <is>
          <t>▼</t>
        </is>
      </c>
    </row>
    <row r="1016" ht="21.75" customHeight="1" s="314">
      <c r="A1016" s="32">
        <f>IF(C1016="","",1292)</f>
        <v/>
      </c>
      <c r="B1016" s="7" t="n">
        <v>46199</v>
      </c>
      <c r="C1016" s="14" t="n"/>
      <c r="D1016" s="16" t="n"/>
      <c r="E1016" s="15" t="inlineStr">
        <is>
          <t>▼</t>
        </is>
      </c>
      <c r="F1016" s="15" t="inlineStr">
        <is>
          <t>▼</t>
        </is>
      </c>
      <c r="G1016" s="16" t="n"/>
      <c r="H1016" s="15" t="inlineStr">
        <is>
          <t>▼</t>
        </is>
      </c>
      <c r="I1016" s="17">
        <f>IF(C1016="","",D1016+IF(F1016="Ambil Obat",IF(G1016="",0,G1016),0))</f>
        <v/>
      </c>
      <c r="J1016" s="12">
        <f>$J$1014</f>
        <v/>
      </c>
      <c r="K1016" s="18" t="inlineStr">
        <is>
          <t>▼</t>
        </is>
      </c>
    </row>
    <row r="1017" ht="21.75" customHeight="1" s="314">
      <c r="A1017" s="6">
        <f>IF(C1017="","",1293)</f>
        <v/>
      </c>
      <c r="B1017" s="7" t="n">
        <v>46199</v>
      </c>
      <c r="C1017" s="8" t="n"/>
      <c r="D1017" s="9" t="n"/>
      <c r="E1017" s="10" t="inlineStr">
        <is>
          <t>▼</t>
        </is>
      </c>
      <c r="F1017" s="10" t="inlineStr">
        <is>
          <t>▼</t>
        </is>
      </c>
      <c r="G1017" s="9" t="n"/>
      <c r="H1017" s="10" t="inlineStr">
        <is>
          <t>▼</t>
        </is>
      </c>
      <c r="I1017" s="11">
        <f>IF(C1017="","",D1017+IF(F1017="Ambil Obat",IF(G1017="",0,G1017),0))</f>
        <v/>
      </c>
      <c r="J1017" s="12">
        <f>$J$1014</f>
        <v/>
      </c>
      <c r="K1017" s="13" t="inlineStr">
        <is>
          <t>▼</t>
        </is>
      </c>
    </row>
    <row r="1018" ht="21.75" customHeight="1" s="314">
      <c r="A1018" s="32">
        <f>IF(C1018="","",1294)</f>
        <v/>
      </c>
      <c r="B1018" s="7" t="n">
        <v>46199</v>
      </c>
      <c r="C1018" s="14" t="n"/>
      <c r="D1018" s="16" t="n"/>
      <c r="E1018" s="15" t="inlineStr">
        <is>
          <t>▼</t>
        </is>
      </c>
      <c r="F1018" s="15" t="inlineStr">
        <is>
          <t>▼</t>
        </is>
      </c>
      <c r="G1018" s="16" t="n"/>
      <c r="H1018" s="15" t="inlineStr">
        <is>
          <t>▼</t>
        </is>
      </c>
      <c r="I1018" s="17">
        <f>IF(C1018="","",D1018+IF(F1018="Ambil Obat",IF(G1018="",0,G1018),0))</f>
        <v/>
      </c>
      <c r="J1018" s="12">
        <f>$J$1014</f>
        <v/>
      </c>
      <c r="K1018" s="18" t="inlineStr">
        <is>
          <t>▼</t>
        </is>
      </c>
    </row>
    <row r="1019" ht="21.75" customHeight="1" s="314">
      <c r="A1019" s="6">
        <f>IF(C1019="","",1295)</f>
        <v/>
      </c>
      <c r="B1019" s="7" t="n">
        <v>46199</v>
      </c>
      <c r="C1019" s="8" t="n"/>
      <c r="D1019" s="9" t="n"/>
      <c r="E1019" s="10" t="inlineStr">
        <is>
          <t>▼</t>
        </is>
      </c>
      <c r="F1019" s="10" t="inlineStr">
        <is>
          <t>▼</t>
        </is>
      </c>
      <c r="G1019" s="9" t="n"/>
      <c r="H1019" s="10" t="inlineStr">
        <is>
          <t>▼</t>
        </is>
      </c>
      <c r="I1019" s="11">
        <f>IF(C1019="","",D1019+IF(F1019="Ambil Obat",IF(G1019="",0,G1019),0))</f>
        <v/>
      </c>
      <c r="J1019" s="12">
        <f>$J$1014</f>
        <v/>
      </c>
      <c r="K1019" s="13" t="inlineStr">
        <is>
          <t>▼</t>
        </is>
      </c>
    </row>
    <row r="1020" ht="21.75" customHeight="1" s="314">
      <c r="A1020" s="32">
        <f>IF(C1020="","",1296)</f>
        <v/>
      </c>
      <c r="B1020" s="7" t="n">
        <v>46199</v>
      </c>
      <c r="C1020" s="14" t="n"/>
      <c r="D1020" s="16" t="n"/>
      <c r="E1020" s="15" t="inlineStr">
        <is>
          <t>▼</t>
        </is>
      </c>
      <c r="F1020" s="15" t="inlineStr">
        <is>
          <t>▼</t>
        </is>
      </c>
      <c r="G1020" s="16" t="n"/>
      <c r="H1020" s="15" t="inlineStr">
        <is>
          <t>▼</t>
        </is>
      </c>
      <c r="I1020" s="17">
        <f>IF(C1020="","",D1020+IF(F1020="Ambil Obat",IF(G1020="",0,G1020),0))</f>
        <v/>
      </c>
      <c r="J1020" s="12">
        <f>$J$1014</f>
        <v/>
      </c>
      <c r="K1020" s="18" t="inlineStr">
        <is>
          <t>▼</t>
        </is>
      </c>
    </row>
    <row r="1021" ht="21.75" customHeight="1" s="314">
      <c r="A1021" s="6">
        <f>IF(C1021="","",1297)</f>
        <v/>
      </c>
      <c r="B1021" s="7" t="n">
        <v>46199</v>
      </c>
      <c r="C1021" s="8" t="n"/>
      <c r="D1021" s="9" t="n"/>
      <c r="E1021" s="10" t="inlineStr">
        <is>
          <t>▼</t>
        </is>
      </c>
      <c r="F1021" s="10" t="inlineStr">
        <is>
          <t>▼</t>
        </is>
      </c>
      <c r="G1021" s="9" t="n"/>
      <c r="H1021" s="10" t="inlineStr">
        <is>
          <t>▼</t>
        </is>
      </c>
      <c r="I1021" s="11">
        <f>IF(C1021="","",D1021+IF(F1021="Ambil Obat",IF(G1021="",0,G1021),0))</f>
        <v/>
      </c>
      <c r="J1021" s="12">
        <f>$J$1014</f>
        <v/>
      </c>
      <c r="K1021" s="13" t="inlineStr">
        <is>
          <t>▼</t>
        </is>
      </c>
    </row>
    <row r="1022" ht="21.75" customHeight="1" s="314">
      <c r="A1022" s="32">
        <f>IF(C1022="","",1298)</f>
        <v/>
      </c>
      <c r="B1022" s="7" t="n">
        <v>46199</v>
      </c>
      <c r="C1022" s="14" t="n"/>
      <c r="D1022" s="16" t="n"/>
      <c r="E1022" s="15" t="inlineStr">
        <is>
          <t>▼</t>
        </is>
      </c>
      <c r="F1022" s="15" t="inlineStr">
        <is>
          <t>▼</t>
        </is>
      </c>
      <c r="G1022" s="16" t="n"/>
      <c r="H1022" s="15" t="inlineStr">
        <is>
          <t>▼</t>
        </is>
      </c>
      <c r="I1022" s="17">
        <f>IF(C1022="","",D1022+IF(F1022="Ambil Obat",IF(G1022="",0,G1022),0))</f>
        <v/>
      </c>
      <c r="J1022" s="12">
        <f>$J$1014</f>
        <v/>
      </c>
      <c r="K1022" s="18" t="inlineStr">
        <is>
          <t>▼</t>
        </is>
      </c>
    </row>
    <row r="1023" ht="21.75" customHeight="1" s="314">
      <c r="A1023" s="6">
        <f>IF(C1023="","",1299)</f>
        <v/>
      </c>
      <c r="B1023" s="7" t="n">
        <v>46199</v>
      </c>
      <c r="C1023" s="8" t="n"/>
      <c r="D1023" s="9" t="n"/>
      <c r="E1023" s="10" t="inlineStr">
        <is>
          <t>▼</t>
        </is>
      </c>
      <c r="F1023" s="10" t="inlineStr">
        <is>
          <t>▼</t>
        </is>
      </c>
      <c r="G1023" s="9" t="n"/>
      <c r="H1023" s="10" t="inlineStr">
        <is>
          <t>▼</t>
        </is>
      </c>
      <c r="I1023" s="11">
        <f>IF(C1023="","",D1023+IF(F1023="Ambil Obat",IF(G1023="",0,G1023),0))</f>
        <v/>
      </c>
      <c r="J1023" s="12">
        <f>$J$1014</f>
        <v/>
      </c>
      <c r="K1023" s="13" t="inlineStr">
        <is>
          <t>▼</t>
        </is>
      </c>
    </row>
    <row r="1024" ht="21.75" customHeight="1" s="314">
      <c r="A1024" s="32">
        <f>IF(C1024="","",1300)</f>
        <v/>
      </c>
      <c r="B1024" s="7" t="n">
        <v>46199</v>
      </c>
      <c r="C1024" s="14" t="n"/>
      <c r="D1024" s="16" t="n"/>
      <c r="E1024" s="15" t="inlineStr">
        <is>
          <t>▼</t>
        </is>
      </c>
      <c r="F1024" s="15" t="inlineStr">
        <is>
          <t>▼</t>
        </is>
      </c>
      <c r="G1024" s="16" t="n"/>
      <c r="H1024" s="15" t="inlineStr">
        <is>
          <t>▼</t>
        </is>
      </c>
      <c r="I1024" s="17">
        <f>IF(C1024="","",D1024+IF(F1024="Ambil Obat",IF(G1024="",0,G1024),0))</f>
        <v/>
      </c>
      <c r="J1024" s="12">
        <f>$J$1014</f>
        <v/>
      </c>
      <c r="K1024" s="18" t="inlineStr">
        <is>
          <t>▼</t>
        </is>
      </c>
    </row>
    <row r="1025" ht="21.75" customHeight="1" s="314">
      <c r="A1025" s="6">
        <f>IF(C1025="","",1301)</f>
        <v/>
      </c>
      <c r="B1025" s="7" t="n">
        <v>46199</v>
      </c>
      <c r="C1025" s="8" t="n"/>
      <c r="D1025" s="9" t="n"/>
      <c r="E1025" s="10" t="inlineStr">
        <is>
          <t>▼</t>
        </is>
      </c>
      <c r="F1025" s="10" t="inlineStr">
        <is>
          <t>▼</t>
        </is>
      </c>
      <c r="G1025" s="9" t="n"/>
      <c r="H1025" s="10" t="inlineStr">
        <is>
          <t>▼</t>
        </is>
      </c>
      <c r="I1025" s="11">
        <f>IF(C1025="","",D1025+IF(F1025="Ambil Obat",IF(G1025="",0,G1025),0))</f>
        <v/>
      </c>
      <c r="J1025" s="12">
        <f>$J$1014</f>
        <v/>
      </c>
      <c r="K1025" s="13" t="inlineStr">
        <is>
          <t>▼</t>
        </is>
      </c>
    </row>
    <row r="1026" ht="21.75" customHeight="1" s="314">
      <c r="A1026" s="32">
        <f>IF(C1026="","",1302)</f>
        <v/>
      </c>
      <c r="B1026" s="7" t="n">
        <v>46199</v>
      </c>
      <c r="C1026" s="14" t="n"/>
      <c r="D1026" s="16" t="n"/>
      <c r="E1026" s="15" t="inlineStr">
        <is>
          <t>▼</t>
        </is>
      </c>
      <c r="F1026" s="15" t="inlineStr">
        <is>
          <t>▼</t>
        </is>
      </c>
      <c r="G1026" s="16" t="n"/>
      <c r="H1026" s="15" t="inlineStr">
        <is>
          <t>▼</t>
        </is>
      </c>
      <c r="I1026" s="17">
        <f>IF(C1026="","",D1026+IF(F1026="Ambil Obat",IF(G1026="",0,G1026),0))</f>
        <v/>
      </c>
      <c r="J1026" s="12">
        <f>$J$1014</f>
        <v/>
      </c>
      <c r="K1026" s="18" t="inlineStr">
        <is>
          <t>▼</t>
        </is>
      </c>
    </row>
    <row r="1027" ht="21.75" customHeight="1" s="314">
      <c r="A1027" s="6">
        <f>IF(C1027="","",1303)</f>
        <v/>
      </c>
      <c r="B1027" s="7" t="n">
        <v>46199</v>
      </c>
      <c r="C1027" s="8" t="n"/>
      <c r="D1027" s="9" t="n"/>
      <c r="E1027" s="10" t="inlineStr">
        <is>
          <t>▼</t>
        </is>
      </c>
      <c r="F1027" s="10" t="inlineStr">
        <is>
          <t>▼</t>
        </is>
      </c>
      <c r="G1027" s="9" t="n"/>
      <c r="H1027" s="10" t="inlineStr">
        <is>
          <t>▼</t>
        </is>
      </c>
      <c r="I1027" s="11">
        <f>IF(C1027="","",D1027+IF(F1027="Ambil Obat",IF(G1027="",0,G1027),0))</f>
        <v/>
      </c>
      <c r="J1027" s="12">
        <f>$J$1014</f>
        <v/>
      </c>
      <c r="K1027" s="13" t="inlineStr">
        <is>
          <t>▼</t>
        </is>
      </c>
    </row>
    <row r="1028" ht="21.75" customHeight="1" s="314">
      <c r="A1028" s="32">
        <f>IF(C1028="","",1304)</f>
        <v/>
      </c>
      <c r="B1028" s="7" t="n">
        <v>46199</v>
      </c>
      <c r="C1028" s="14" t="n"/>
      <c r="D1028" s="16" t="n"/>
      <c r="E1028" s="15" t="inlineStr">
        <is>
          <t>▼</t>
        </is>
      </c>
      <c r="F1028" s="15" t="inlineStr">
        <is>
          <t>▼</t>
        </is>
      </c>
      <c r="G1028" s="16" t="n"/>
      <c r="H1028" s="15" t="inlineStr">
        <is>
          <t>▼</t>
        </is>
      </c>
      <c r="I1028" s="17">
        <f>IF(C1028="","",D1028+IF(F1028="Ambil Obat",IF(G1028="",0,G1028),0))</f>
        <v/>
      </c>
      <c r="J1028" s="12">
        <f>$J$1014</f>
        <v/>
      </c>
      <c r="K1028" s="18" t="inlineStr">
        <is>
          <t>▼</t>
        </is>
      </c>
    </row>
    <row r="1029" ht="21.75" customHeight="1" s="314">
      <c r="A1029" s="6">
        <f>IF(C1029="","",1305)</f>
        <v/>
      </c>
      <c r="B1029" s="7" t="n">
        <v>46199</v>
      </c>
      <c r="C1029" s="8" t="n"/>
      <c r="D1029" s="9" t="n"/>
      <c r="E1029" s="10" t="inlineStr">
        <is>
          <t>▼</t>
        </is>
      </c>
      <c r="F1029" s="10" t="inlineStr">
        <is>
          <t>▼</t>
        </is>
      </c>
      <c r="G1029" s="9" t="n"/>
      <c r="H1029" s="10" t="inlineStr">
        <is>
          <t>▼</t>
        </is>
      </c>
      <c r="I1029" s="11">
        <f>IF(C1029="","",D1029+IF(F1029="Ambil Obat",IF(G1029="",0,G1029),0))</f>
        <v/>
      </c>
      <c r="J1029" s="12">
        <f>$J$1014</f>
        <v/>
      </c>
      <c r="K1029" s="13" t="inlineStr">
        <is>
          <t>▼</t>
        </is>
      </c>
    </row>
    <row r="1030" ht="24" customHeight="1" s="314">
      <c r="A1030" s="248">
        <f>IF(COUNTA(C1015:C1029)=0,"— belum ada data —","📊 Sub-total  "&amp; TEXT(B1015,"DD MMM YYYY") &amp;"  ("&amp;COUNTA(C1015:C1029)&amp;" pasien)")</f>
        <v/>
      </c>
      <c r="B1030" s="316" t="n"/>
      <c r="C1030" s="316" t="n"/>
      <c r="D1030" s="19">
        <f>IF(COUNTA(C1015:C1029)=0,"",SUM(D1015:D1029))</f>
        <v/>
      </c>
      <c r="E1030" s="20">
        <f>IF(COUNTA(C1015:C1029)=0,"",SUMIF(E1015:E1029,"Cash",D1015:D1029))</f>
        <v/>
      </c>
      <c r="F1030" s="21">
        <f>IF(COUNTA(C1015:C1029)=0,"",SUMIF(E1015:E1029,"Transfer Bank",D1015:D1029))</f>
        <v/>
      </c>
      <c r="G1030" s="19">
        <f>IF(COUNTA(C1015:C1029)=0,"",SUMIF(F1015:F1029,"Ambil Obat",G1015:G1029))</f>
        <v/>
      </c>
      <c r="H1030" s="20">
        <f>IF(COUNTA(C1015:C1029)=0,"",SUMIFS(G1015:G1029,H1015:H1029,"Cash",F1015:F1029,"Ambil Obat"))</f>
        <v/>
      </c>
      <c r="I1030" s="21">
        <f>IF(COUNTA(C1015:C1029)=0,"",SUMIFS(G1015:G1029,H1015:H1029,"Transfer Bank",F1015:F1029,"Ambil Obat"))</f>
        <v/>
      </c>
      <c r="J1030" s="22" t="n"/>
      <c r="K1030" s="23">
        <f>IF(COUNTA(C1015:C1029)=0,"",D1030+G1030)</f>
        <v/>
      </c>
    </row>
    <row r="1031" ht="24" customHeight="1" s="314">
      <c r="A1031" s="249" t="inlineStr">
        <is>
          <t>📅  Sabtu, 27 Juni 2026</t>
        </is>
      </c>
      <c r="B1031" s="5" t="n"/>
      <c r="C1031" s="5" t="n"/>
      <c r="D1031" s="5" t="n"/>
      <c r="E1031" s="5" t="n"/>
      <c r="F1031" s="5" t="n"/>
      <c r="G1031" s="5" t="n"/>
      <c r="H1031" s="5" t="n"/>
      <c r="I1031" s="5" t="n"/>
      <c r="J1031" s="4" t="inlineStr">
        <is>
          <t>dr. HAWA</t>
        </is>
      </c>
      <c r="K1031" s="5" t="n"/>
    </row>
    <row r="1032" ht="21.75" customHeight="1" s="314">
      <c r="A1032" s="6">
        <f>IF(C1032="","",1306)</f>
        <v/>
      </c>
      <c r="B1032" s="7" t="n">
        <v>46200</v>
      </c>
      <c r="C1032" s="8" t="n"/>
      <c r="D1032" s="9" t="n"/>
      <c r="E1032" s="10" t="inlineStr">
        <is>
          <t>▼</t>
        </is>
      </c>
      <c r="F1032" s="10" t="inlineStr">
        <is>
          <t>▼</t>
        </is>
      </c>
      <c r="G1032" s="9" t="n"/>
      <c r="H1032" s="10" t="inlineStr">
        <is>
          <t>▼</t>
        </is>
      </c>
      <c r="I1032" s="11">
        <f>IF(C1032="","",D1032+IF(F1032="Ambil Obat",IF(G1032="",0,G1032),0))</f>
        <v/>
      </c>
      <c r="J1032" s="12">
        <f>$J$1031</f>
        <v/>
      </c>
      <c r="K1032" s="13" t="inlineStr">
        <is>
          <t>▼</t>
        </is>
      </c>
    </row>
    <row r="1033" ht="21.75" customHeight="1" s="314">
      <c r="A1033" s="32">
        <f>IF(C1033="","",1307)</f>
        <v/>
      </c>
      <c r="B1033" s="7" t="n">
        <v>46200</v>
      </c>
      <c r="C1033" s="14" t="n"/>
      <c r="D1033" s="16" t="n"/>
      <c r="E1033" s="15" t="inlineStr">
        <is>
          <t>▼</t>
        </is>
      </c>
      <c r="F1033" s="15" t="inlineStr">
        <is>
          <t>▼</t>
        </is>
      </c>
      <c r="G1033" s="16" t="n"/>
      <c r="H1033" s="15" t="inlineStr">
        <is>
          <t>▼</t>
        </is>
      </c>
      <c r="I1033" s="17">
        <f>IF(C1033="","",D1033+IF(F1033="Ambil Obat",IF(G1033="",0,G1033),0))</f>
        <v/>
      </c>
      <c r="J1033" s="12">
        <f>$J$1031</f>
        <v/>
      </c>
      <c r="K1033" s="18" t="inlineStr">
        <is>
          <t>▼</t>
        </is>
      </c>
    </row>
    <row r="1034" ht="21.75" customHeight="1" s="314">
      <c r="A1034" s="6">
        <f>IF(C1034="","",1308)</f>
        <v/>
      </c>
      <c r="B1034" s="7" t="n">
        <v>46200</v>
      </c>
      <c r="C1034" s="8" t="n"/>
      <c r="D1034" s="9" t="n"/>
      <c r="E1034" s="10" t="inlineStr">
        <is>
          <t>▼</t>
        </is>
      </c>
      <c r="F1034" s="10" t="inlineStr">
        <is>
          <t>▼</t>
        </is>
      </c>
      <c r="G1034" s="9" t="n"/>
      <c r="H1034" s="10" t="inlineStr">
        <is>
          <t>▼</t>
        </is>
      </c>
      <c r="I1034" s="11">
        <f>IF(C1034="","",D1034+IF(F1034="Ambil Obat",IF(G1034="",0,G1034),0))</f>
        <v/>
      </c>
      <c r="J1034" s="12">
        <f>$J$1031</f>
        <v/>
      </c>
      <c r="K1034" s="13" t="inlineStr">
        <is>
          <t>▼</t>
        </is>
      </c>
    </row>
    <row r="1035" ht="21.75" customHeight="1" s="314">
      <c r="A1035" s="32">
        <f>IF(C1035="","",1309)</f>
        <v/>
      </c>
      <c r="B1035" s="7" t="n">
        <v>46200</v>
      </c>
      <c r="C1035" s="14" t="n"/>
      <c r="D1035" s="16" t="n"/>
      <c r="E1035" s="15" t="inlineStr">
        <is>
          <t>▼</t>
        </is>
      </c>
      <c r="F1035" s="15" t="inlineStr">
        <is>
          <t>▼</t>
        </is>
      </c>
      <c r="G1035" s="16" t="n"/>
      <c r="H1035" s="15" t="inlineStr">
        <is>
          <t>▼</t>
        </is>
      </c>
      <c r="I1035" s="17">
        <f>IF(C1035="","",D1035+IF(F1035="Ambil Obat",IF(G1035="",0,G1035),0))</f>
        <v/>
      </c>
      <c r="J1035" s="12">
        <f>$J$1031</f>
        <v/>
      </c>
      <c r="K1035" s="18" t="inlineStr">
        <is>
          <t>▼</t>
        </is>
      </c>
    </row>
    <row r="1036" ht="21.75" customHeight="1" s="314">
      <c r="A1036" s="6">
        <f>IF(C1036="","",1310)</f>
        <v/>
      </c>
      <c r="B1036" s="7" t="n">
        <v>46200</v>
      </c>
      <c r="C1036" s="8" t="n"/>
      <c r="D1036" s="9" t="n"/>
      <c r="E1036" s="10" t="inlineStr">
        <is>
          <t>▼</t>
        </is>
      </c>
      <c r="F1036" s="10" t="inlineStr">
        <is>
          <t>▼</t>
        </is>
      </c>
      <c r="G1036" s="9" t="n"/>
      <c r="H1036" s="10" t="inlineStr">
        <is>
          <t>▼</t>
        </is>
      </c>
      <c r="I1036" s="11">
        <f>IF(C1036="","",D1036+IF(F1036="Ambil Obat",IF(G1036="",0,G1036),0))</f>
        <v/>
      </c>
      <c r="J1036" s="12">
        <f>$J$1031</f>
        <v/>
      </c>
      <c r="K1036" s="13" t="inlineStr">
        <is>
          <t>▼</t>
        </is>
      </c>
    </row>
    <row r="1037" ht="21.75" customHeight="1" s="314">
      <c r="A1037" s="32">
        <f>IF(C1037="","",1311)</f>
        <v/>
      </c>
      <c r="B1037" s="7" t="n">
        <v>46200</v>
      </c>
      <c r="C1037" s="14" t="n"/>
      <c r="D1037" s="16" t="n"/>
      <c r="E1037" s="15" t="inlineStr">
        <is>
          <t>▼</t>
        </is>
      </c>
      <c r="F1037" s="15" t="inlineStr">
        <is>
          <t>▼</t>
        </is>
      </c>
      <c r="G1037" s="16" t="n"/>
      <c r="H1037" s="15" t="inlineStr">
        <is>
          <t>▼</t>
        </is>
      </c>
      <c r="I1037" s="17">
        <f>IF(C1037="","",D1037+IF(F1037="Ambil Obat",IF(G1037="",0,G1037),0))</f>
        <v/>
      </c>
      <c r="J1037" s="12">
        <f>$J$1031</f>
        <v/>
      </c>
      <c r="K1037" s="18" t="inlineStr">
        <is>
          <t>▼</t>
        </is>
      </c>
    </row>
    <row r="1038" ht="21.75" customHeight="1" s="314">
      <c r="A1038" s="6">
        <f>IF(C1038="","",1312)</f>
        <v/>
      </c>
      <c r="B1038" s="7" t="n">
        <v>46200</v>
      </c>
      <c r="C1038" s="8" t="n"/>
      <c r="D1038" s="9" t="n"/>
      <c r="E1038" s="10" t="inlineStr">
        <is>
          <t>▼</t>
        </is>
      </c>
      <c r="F1038" s="10" t="inlineStr">
        <is>
          <t>▼</t>
        </is>
      </c>
      <c r="G1038" s="9" t="n"/>
      <c r="H1038" s="10" t="inlineStr">
        <is>
          <t>▼</t>
        </is>
      </c>
      <c r="I1038" s="11">
        <f>IF(C1038="","",D1038+IF(F1038="Ambil Obat",IF(G1038="",0,G1038),0))</f>
        <v/>
      </c>
      <c r="J1038" s="12">
        <f>$J$1031</f>
        <v/>
      </c>
      <c r="K1038" s="13" t="inlineStr">
        <is>
          <t>▼</t>
        </is>
      </c>
    </row>
    <row r="1039" ht="21.75" customHeight="1" s="314">
      <c r="A1039" s="32">
        <f>IF(C1039="","",1313)</f>
        <v/>
      </c>
      <c r="B1039" s="7" t="n">
        <v>46200</v>
      </c>
      <c r="C1039" s="14" t="n"/>
      <c r="D1039" s="16" t="n"/>
      <c r="E1039" s="15" t="inlineStr">
        <is>
          <t>▼</t>
        </is>
      </c>
      <c r="F1039" s="15" t="inlineStr">
        <is>
          <t>▼</t>
        </is>
      </c>
      <c r="G1039" s="16" t="n"/>
      <c r="H1039" s="15" t="inlineStr">
        <is>
          <t>▼</t>
        </is>
      </c>
      <c r="I1039" s="17">
        <f>IF(C1039="","",D1039+IF(F1039="Ambil Obat",IF(G1039="",0,G1039),0))</f>
        <v/>
      </c>
      <c r="J1039" s="12">
        <f>$J$1031</f>
        <v/>
      </c>
      <c r="K1039" s="18" t="inlineStr">
        <is>
          <t>▼</t>
        </is>
      </c>
    </row>
    <row r="1040" ht="21.75" customHeight="1" s="314">
      <c r="A1040" s="6">
        <f>IF(C1040="","",1314)</f>
        <v/>
      </c>
      <c r="B1040" s="7" t="n">
        <v>46200</v>
      </c>
      <c r="C1040" s="8" t="n"/>
      <c r="D1040" s="9" t="n"/>
      <c r="E1040" s="10" t="inlineStr">
        <is>
          <t>▼</t>
        </is>
      </c>
      <c r="F1040" s="10" t="inlineStr">
        <is>
          <t>▼</t>
        </is>
      </c>
      <c r="G1040" s="9" t="n"/>
      <c r="H1040" s="10" t="inlineStr">
        <is>
          <t>▼</t>
        </is>
      </c>
      <c r="I1040" s="11">
        <f>IF(C1040="","",D1040+IF(F1040="Ambil Obat",IF(G1040="",0,G1040),0))</f>
        <v/>
      </c>
      <c r="J1040" s="12">
        <f>$J$1031</f>
        <v/>
      </c>
      <c r="K1040" s="13" t="inlineStr">
        <is>
          <t>▼</t>
        </is>
      </c>
    </row>
    <row r="1041" ht="21.75" customHeight="1" s="314">
      <c r="A1041" s="32">
        <f>IF(C1041="","",1315)</f>
        <v/>
      </c>
      <c r="B1041" s="7" t="n">
        <v>46200</v>
      </c>
      <c r="C1041" s="14" t="n"/>
      <c r="D1041" s="16" t="n"/>
      <c r="E1041" s="15" t="inlineStr">
        <is>
          <t>▼</t>
        </is>
      </c>
      <c r="F1041" s="15" t="inlineStr">
        <is>
          <t>▼</t>
        </is>
      </c>
      <c r="G1041" s="16" t="n"/>
      <c r="H1041" s="15" t="inlineStr">
        <is>
          <t>▼</t>
        </is>
      </c>
      <c r="I1041" s="17">
        <f>IF(C1041="","",D1041+IF(F1041="Ambil Obat",IF(G1041="",0,G1041),0))</f>
        <v/>
      </c>
      <c r="J1041" s="12">
        <f>$J$1031</f>
        <v/>
      </c>
      <c r="K1041" s="18" t="inlineStr">
        <is>
          <t>▼</t>
        </is>
      </c>
    </row>
    <row r="1042" ht="21.75" customHeight="1" s="314">
      <c r="A1042" s="6">
        <f>IF(C1042="","",1316)</f>
        <v/>
      </c>
      <c r="B1042" s="7" t="n">
        <v>46200</v>
      </c>
      <c r="C1042" s="8" t="n"/>
      <c r="D1042" s="9" t="n"/>
      <c r="E1042" s="10" t="inlineStr">
        <is>
          <t>▼</t>
        </is>
      </c>
      <c r="F1042" s="10" t="inlineStr">
        <is>
          <t>▼</t>
        </is>
      </c>
      <c r="G1042" s="9" t="n"/>
      <c r="H1042" s="10" t="inlineStr">
        <is>
          <t>▼</t>
        </is>
      </c>
      <c r="I1042" s="11">
        <f>IF(C1042="","",D1042+IF(F1042="Ambil Obat",IF(G1042="",0,G1042),0))</f>
        <v/>
      </c>
      <c r="J1042" s="12">
        <f>$J$1031</f>
        <v/>
      </c>
      <c r="K1042" s="13" t="inlineStr">
        <is>
          <t>▼</t>
        </is>
      </c>
    </row>
    <row r="1043" ht="21.75" customHeight="1" s="314">
      <c r="A1043" s="32">
        <f>IF(C1043="","",1317)</f>
        <v/>
      </c>
      <c r="B1043" s="7" t="n">
        <v>46200</v>
      </c>
      <c r="C1043" s="14" t="n"/>
      <c r="D1043" s="16" t="n"/>
      <c r="E1043" s="15" t="inlineStr">
        <is>
          <t>▼</t>
        </is>
      </c>
      <c r="F1043" s="15" t="inlineStr">
        <is>
          <t>▼</t>
        </is>
      </c>
      <c r="G1043" s="16" t="n"/>
      <c r="H1043" s="15" t="inlineStr">
        <is>
          <t>▼</t>
        </is>
      </c>
      <c r="I1043" s="17">
        <f>IF(C1043="","",D1043+IF(F1043="Ambil Obat",IF(G1043="",0,G1043),0))</f>
        <v/>
      </c>
      <c r="J1043" s="12">
        <f>$J$1031</f>
        <v/>
      </c>
      <c r="K1043" s="18" t="inlineStr">
        <is>
          <t>▼</t>
        </is>
      </c>
    </row>
    <row r="1044" ht="21.75" customHeight="1" s="314">
      <c r="A1044" s="6">
        <f>IF(C1044="","",1318)</f>
        <v/>
      </c>
      <c r="B1044" s="7" t="n">
        <v>46200</v>
      </c>
      <c r="C1044" s="8" t="n"/>
      <c r="D1044" s="9" t="n"/>
      <c r="E1044" s="10" t="inlineStr">
        <is>
          <t>▼</t>
        </is>
      </c>
      <c r="F1044" s="10" t="inlineStr">
        <is>
          <t>▼</t>
        </is>
      </c>
      <c r="G1044" s="9" t="n"/>
      <c r="H1044" s="10" t="inlineStr">
        <is>
          <t>▼</t>
        </is>
      </c>
      <c r="I1044" s="11">
        <f>IF(C1044="","",D1044+IF(F1044="Ambil Obat",IF(G1044="",0,G1044),0))</f>
        <v/>
      </c>
      <c r="J1044" s="12">
        <f>$J$1031</f>
        <v/>
      </c>
      <c r="K1044" s="13" t="inlineStr">
        <is>
          <t>▼</t>
        </is>
      </c>
    </row>
    <row r="1045" ht="21.75" customHeight="1" s="314">
      <c r="A1045" s="32">
        <f>IF(C1045="","",1319)</f>
        <v/>
      </c>
      <c r="B1045" s="7" t="n">
        <v>46200</v>
      </c>
      <c r="C1045" s="14" t="n"/>
      <c r="D1045" s="16" t="n"/>
      <c r="E1045" s="15" t="inlineStr">
        <is>
          <t>▼</t>
        </is>
      </c>
      <c r="F1045" s="15" t="inlineStr">
        <is>
          <t>▼</t>
        </is>
      </c>
      <c r="G1045" s="16" t="n"/>
      <c r="H1045" s="15" t="inlineStr">
        <is>
          <t>▼</t>
        </is>
      </c>
      <c r="I1045" s="17">
        <f>IF(C1045="","",D1045+IF(F1045="Ambil Obat",IF(G1045="",0,G1045),0))</f>
        <v/>
      </c>
      <c r="J1045" s="12">
        <f>$J$1031</f>
        <v/>
      </c>
      <c r="K1045" s="18" t="inlineStr">
        <is>
          <t>▼</t>
        </is>
      </c>
    </row>
    <row r="1046" ht="21.75" customHeight="1" s="314">
      <c r="A1046" s="6">
        <f>IF(C1046="","",1320)</f>
        <v/>
      </c>
      <c r="B1046" s="7" t="n">
        <v>46200</v>
      </c>
      <c r="C1046" s="8" t="n"/>
      <c r="D1046" s="9" t="n"/>
      <c r="E1046" s="10" t="inlineStr">
        <is>
          <t>▼</t>
        </is>
      </c>
      <c r="F1046" s="10" t="inlineStr">
        <is>
          <t>▼</t>
        </is>
      </c>
      <c r="G1046" s="9" t="n"/>
      <c r="H1046" s="10" t="inlineStr">
        <is>
          <t>▼</t>
        </is>
      </c>
      <c r="I1046" s="11">
        <f>IF(C1046="","",D1046+IF(F1046="Ambil Obat",IF(G1046="",0,G1046),0))</f>
        <v/>
      </c>
      <c r="J1046" s="12">
        <f>$J$1031</f>
        <v/>
      </c>
      <c r="K1046" s="13" t="inlineStr">
        <is>
          <t>▼</t>
        </is>
      </c>
    </row>
    <row r="1047" ht="24" customHeight="1" s="314">
      <c r="A1047" s="248">
        <f>IF(COUNTA(C1032:C1046)=0,"— belum ada data —","📊 Sub-total  "&amp; TEXT(B1032,"DD MMM YYYY") &amp;"  ("&amp;COUNTA(C1032:C1046)&amp;" pasien)")</f>
        <v/>
      </c>
      <c r="B1047" s="316" t="n"/>
      <c r="C1047" s="316" t="n"/>
      <c r="D1047" s="19">
        <f>IF(COUNTA(C1032:C1046)=0,"",SUM(D1032:D1046))</f>
        <v/>
      </c>
      <c r="E1047" s="20">
        <f>IF(COUNTA(C1032:C1046)=0,"",SUMIF(E1032:E1046,"Cash",D1032:D1046))</f>
        <v/>
      </c>
      <c r="F1047" s="21">
        <f>IF(COUNTA(C1032:C1046)=0,"",SUMIF(E1032:E1046,"Transfer Bank",D1032:D1046))</f>
        <v/>
      </c>
      <c r="G1047" s="19">
        <f>IF(COUNTA(C1032:C1046)=0,"",SUMIF(F1032:F1046,"Ambil Obat",G1032:G1046))</f>
        <v/>
      </c>
      <c r="H1047" s="20">
        <f>IF(COUNTA(C1032:C1046)=0,"",SUMIFS(G1032:G1046,H1032:H1046,"Cash",F1032:F1046,"Ambil Obat"))</f>
        <v/>
      </c>
      <c r="I1047" s="21">
        <f>IF(COUNTA(C1032:C1046)=0,"",SUMIFS(G1032:G1046,H1032:H1046,"Transfer Bank",F1032:F1046,"Ambil Obat"))</f>
        <v/>
      </c>
      <c r="J1047" s="22" t="n"/>
      <c r="K1047" s="23">
        <f>IF(COUNTA(C1032:C1046)=0,"",D1047+G1047)</f>
        <v/>
      </c>
    </row>
    <row r="1048" ht="24" customHeight="1" s="314">
      <c r="A1048" s="249" t="inlineStr">
        <is>
          <t>📅  Minggu, 28 Juni 2026</t>
        </is>
      </c>
      <c r="B1048" s="5" t="n"/>
      <c r="C1048" s="5" t="n"/>
      <c r="D1048" s="5" t="n"/>
      <c r="E1048" s="5" t="n"/>
      <c r="F1048" s="5" t="n"/>
      <c r="G1048" s="5" t="n"/>
      <c r="H1048" s="5" t="n"/>
      <c r="I1048" s="5" t="n"/>
      <c r="J1048" s="4" t="inlineStr">
        <is>
          <t>dr. HAWA</t>
        </is>
      </c>
      <c r="K1048" s="5" t="n"/>
    </row>
    <row r="1049" ht="21.75" customHeight="1" s="314">
      <c r="A1049" s="6">
        <f>IF(C1049="","",1321)</f>
        <v/>
      </c>
      <c r="B1049" s="7" t="n">
        <v>46201</v>
      </c>
      <c r="C1049" s="8" t="n"/>
      <c r="D1049" s="9" t="n"/>
      <c r="E1049" s="10" t="inlineStr">
        <is>
          <t>▼</t>
        </is>
      </c>
      <c r="F1049" s="10" t="inlineStr">
        <is>
          <t>▼</t>
        </is>
      </c>
      <c r="G1049" s="9" t="n"/>
      <c r="H1049" s="10" t="inlineStr">
        <is>
          <t>▼</t>
        </is>
      </c>
      <c r="I1049" s="11">
        <f>IF(C1049="","",D1049+IF(F1049="Ambil Obat",IF(G1049="",0,G1049),0))</f>
        <v/>
      </c>
      <c r="J1049" s="12">
        <f>$J$1048</f>
        <v/>
      </c>
      <c r="K1049" s="13" t="inlineStr">
        <is>
          <t>▼</t>
        </is>
      </c>
    </row>
    <row r="1050" ht="21.75" customHeight="1" s="314">
      <c r="A1050" s="32">
        <f>IF(C1050="","",1322)</f>
        <v/>
      </c>
      <c r="B1050" s="7" t="n">
        <v>46201</v>
      </c>
      <c r="C1050" s="14" t="n"/>
      <c r="D1050" s="16" t="n"/>
      <c r="E1050" s="15" t="inlineStr">
        <is>
          <t>▼</t>
        </is>
      </c>
      <c r="F1050" s="15" t="inlineStr">
        <is>
          <t>▼</t>
        </is>
      </c>
      <c r="G1050" s="16" t="n"/>
      <c r="H1050" s="15" t="inlineStr">
        <is>
          <t>▼</t>
        </is>
      </c>
      <c r="I1050" s="17">
        <f>IF(C1050="","",D1050+IF(F1050="Ambil Obat",IF(G1050="",0,G1050),0))</f>
        <v/>
      </c>
      <c r="J1050" s="12">
        <f>$J$1048</f>
        <v/>
      </c>
      <c r="K1050" s="18" t="inlineStr">
        <is>
          <t>▼</t>
        </is>
      </c>
    </row>
    <row r="1051" ht="21.75" customHeight="1" s="314">
      <c r="A1051" s="6">
        <f>IF(C1051="","",1323)</f>
        <v/>
      </c>
      <c r="B1051" s="7" t="n">
        <v>46201</v>
      </c>
      <c r="C1051" s="8" t="n"/>
      <c r="D1051" s="9" t="n"/>
      <c r="E1051" s="10" t="inlineStr">
        <is>
          <t>▼</t>
        </is>
      </c>
      <c r="F1051" s="10" t="inlineStr">
        <is>
          <t>▼</t>
        </is>
      </c>
      <c r="G1051" s="9" t="n"/>
      <c r="H1051" s="10" t="inlineStr">
        <is>
          <t>▼</t>
        </is>
      </c>
      <c r="I1051" s="11">
        <f>IF(C1051="","",D1051+IF(F1051="Ambil Obat",IF(G1051="",0,G1051),0))</f>
        <v/>
      </c>
      <c r="J1051" s="12">
        <f>$J$1048</f>
        <v/>
      </c>
      <c r="K1051" s="13" t="inlineStr">
        <is>
          <t>▼</t>
        </is>
      </c>
    </row>
    <row r="1052" ht="21.75" customHeight="1" s="314">
      <c r="A1052" s="32">
        <f>IF(C1052="","",1324)</f>
        <v/>
      </c>
      <c r="B1052" s="7" t="n">
        <v>46201</v>
      </c>
      <c r="C1052" s="14" t="n"/>
      <c r="D1052" s="16" t="n"/>
      <c r="E1052" s="15" t="inlineStr">
        <is>
          <t>▼</t>
        </is>
      </c>
      <c r="F1052" s="15" t="inlineStr">
        <is>
          <t>▼</t>
        </is>
      </c>
      <c r="G1052" s="16" t="n"/>
      <c r="H1052" s="15" t="inlineStr">
        <is>
          <t>▼</t>
        </is>
      </c>
      <c r="I1052" s="17">
        <f>IF(C1052="","",D1052+IF(F1052="Ambil Obat",IF(G1052="",0,G1052),0))</f>
        <v/>
      </c>
      <c r="J1052" s="12">
        <f>$J$1048</f>
        <v/>
      </c>
      <c r="K1052" s="18" t="inlineStr">
        <is>
          <t>▼</t>
        </is>
      </c>
    </row>
    <row r="1053" ht="21.75" customHeight="1" s="314">
      <c r="A1053" s="6">
        <f>IF(C1053="","",1325)</f>
        <v/>
      </c>
      <c r="B1053" s="7" t="n">
        <v>46201</v>
      </c>
      <c r="C1053" s="8" t="n"/>
      <c r="D1053" s="9" t="n"/>
      <c r="E1053" s="10" t="inlineStr">
        <is>
          <t>▼</t>
        </is>
      </c>
      <c r="F1053" s="10" t="inlineStr">
        <is>
          <t>▼</t>
        </is>
      </c>
      <c r="G1053" s="9" t="n"/>
      <c r="H1053" s="10" t="inlineStr">
        <is>
          <t>▼</t>
        </is>
      </c>
      <c r="I1053" s="11">
        <f>IF(C1053="","",D1053+IF(F1053="Ambil Obat",IF(G1053="",0,G1053),0))</f>
        <v/>
      </c>
      <c r="J1053" s="12">
        <f>$J$1048</f>
        <v/>
      </c>
      <c r="K1053" s="13" t="inlineStr">
        <is>
          <t>▼</t>
        </is>
      </c>
    </row>
    <row r="1054" ht="21.75" customHeight="1" s="314">
      <c r="A1054" s="32">
        <f>IF(C1054="","",1326)</f>
        <v/>
      </c>
      <c r="B1054" s="7" t="n">
        <v>46201</v>
      </c>
      <c r="C1054" s="14" t="n"/>
      <c r="D1054" s="16" t="n"/>
      <c r="E1054" s="15" t="inlineStr">
        <is>
          <t>▼</t>
        </is>
      </c>
      <c r="F1054" s="15" t="inlineStr">
        <is>
          <t>▼</t>
        </is>
      </c>
      <c r="G1054" s="16" t="n"/>
      <c r="H1054" s="15" t="inlineStr">
        <is>
          <t>▼</t>
        </is>
      </c>
      <c r="I1054" s="17">
        <f>IF(C1054="","",D1054+IF(F1054="Ambil Obat",IF(G1054="",0,G1054),0))</f>
        <v/>
      </c>
      <c r="J1054" s="12">
        <f>$J$1048</f>
        <v/>
      </c>
      <c r="K1054" s="18" t="inlineStr">
        <is>
          <t>▼</t>
        </is>
      </c>
    </row>
    <row r="1055" ht="21.75" customHeight="1" s="314">
      <c r="A1055" s="6">
        <f>IF(C1055="","",1327)</f>
        <v/>
      </c>
      <c r="B1055" s="7" t="n">
        <v>46201</v>
      </c>
      <c r="C1055" s="8" t="n"/>
      <c r="D1055" s="9" t="n"/>
      <c r="E1055" s="10" t="inlineStr">
        <is>
          <t>▼</t>
        </is>
      </c>
      <c r="F1055" s="10" t="inlineStr">
        <is>
          <t>▼</t>
        </is>
      </c>
      <c r="G1055" s="9" t="n"/>
      <c r="H1055" s="10" t="inlineStr">
        <is>
          <t>▼</t>
        </is>
      </c>
      <c r="I1055" s="11">
        <f>IF(C1055="","",D1055+IF(F1055="Ambil Obat",IF(G1055="",0,G1055),0))</f>
        <v/>
      </c>
      <c r="J1055" s="12">
        <f>$J$1048</f>
        <v/>
      </c>
      <c r="K1055" s="13" t="inlineStr">
        <is>
          <t>▼</t>
        </is>
      </c>
    </row>
    <row r="1056" ht="21.75" customHeight="1" s="314">
      <c r="A1056" s="32">
        <f>IF(C1056="","",1328)</f>
        <v/>
      </c>
      <c r="B1056" s="7" t="n">
        <v>46201</v>
      </c>
      <c r="C1056" s="14" t="n"/>
      <c r="D1056" s="16" t="n"/>
      <c r="E1056" s="15" t="inlineStr">
        <is>
          <t>▼</t>
        </is>
      </c>
      <c r="F1056" s="15" t="inlineStr">
        <is>
          <t>▼</t>
        </is>
      </c>
      <c r="G1056" s="16" t="n"/>
      <c r="H1056" s="15" t="inlineStr">
        <is>
          <t>▼</t>
        </is>
      </c>
      <c r="I1056" s="17">
        <f>IF(C1056="","",D1056+IF(F1056="Ambil Obat",IF(G1056="",0,G1056),0))</f>
        <v/>
      </c>
      <c r="J1056" s="12">
        <f>$J$1048</f>
        <v/>
      </c>
      <c r="K1056" s="18" t="inlineStr">
        <is>
          <t>▼</t>
        </is>
      </c>
    </row>
    <row r="1057" ht="21.75" customHeight="1" s="314">
      <c r="A1057" s="6">
        <f>IF(C1057="","",1329)</f>
        <v/>
      </c>
      <c r="B1057" s="7" t="n">
        <v>46201</v>
      </c>
      <c r="C1057" s="8" t="n"/>
      <c r="D1057" s="9" t="n"/>
      <c r="E1057" s="10" t="inlineStr">
        <is>
          <t>▼</t>
        </is>
      </c>
      <c r="F1057" s="10" t="inlineStr">
        <is>
          <t>▼</t>
        </is>
      </c>
      <c r="G1057" s="9" t="n"/>
      <c r="H1057" s="10" t="inlineStr">
        <is>
          <t>▼</t>
        </is>
      </c>
      <c r="I1057" s="11">
        <f>IF(C1057="","",D1057+IF(F1057="Ambil Obat",IF(G1057="",0,G1057),0))</f>
        <v/>
      </c>
      <c r="J1057" s="12">
        <f>$J$1048</f>
        <v/>
      </c>
      <c r="K1057" s="13" t="inlineStr">
        <is>
          <t>▼</t>
        </is>
      </c>
    </row>
    <row r="1058" ht="21.75" customHeight="1" s="314">
      <c r="A1058" s="32">
        <f>IF(C1058="","",1330)</f>
        <v/>
      </c>
      <c r="B1058" s="7" t="n">
        <v>46201</v>
      </c>
      <c r="C1058" s="14" t="n"/>
      <c r="D1058" s="16" t="n"/>
      <c r="E1058" s="15" t="inlineStr">
        <is>
          <t>▼</t>
        </is>
      </c>
      <c r="F1058" s="15" t="inlineStr">
        <is>
          <t>▼</t>
        </is>
      </c>
      <c r="G1058" s="16" t="n"/>
      <c r="H1058" s="15" t="inlineStr">
        <is>
          <t>▼</t>
        </is>
      </c>
      <c r="I1058" s="17">
        <f>IF(C1058="","",D1058+IF(F1058="Ambil Obat",IF(G1058="",0,G1058),0))</f>
        <v/>
      </c>
      <c r="J1058" s="12">
        <f>$J$1048</f>
        <v/>
      </c>
      <c r="K1058" s="18" t="inlineStr">
        <is>
          <t>▼</t>
        </is>
      </c>
    </row>
    <row r="1059" ht="21.75" customHeight="1" s="314">
      <c r="A1059" s="6">
        <f>IF(C1059="","",1331)</f>
        <v/>
      </c>
      <c r="B1059" s="7" t="n">
        <v>46201</v>
      </c>
      <c r="C1059" s="8" t="n"/>
      <c r="D1059" s="9" t="n"/>
      <c r="E1059" s="10" t="inlineStr">
        <is>
          <t>▼</t>
        </is>
      </c>
      <c r="F1059" s="10" t="inlineStr">
        <is>
          <t>▼</t>
        </is>
      </c>
      <c r="G1059" s="9" t="n"/>
      <c r="H1059" s="10" t="inlineStr">
        <is>
          <t>▼</t>
        </is>
      </c>
      <c r="I1059" s="11">
        <f>IF(C1059="","",D1059+IF(F1059="Ambil Obat",IF(G1059="",0,G1059),0))</f>
        <v/>
      </c>
      <c r="J1059" s="12">
        <f>$J$1048</f>
        <v/>
      </c>
      <c r="K1059" s="13" t="inlineStr">
        <is>
          <t>▼</t>
        </is>
      </c>
    </row>
    <row r="1060" ht="21.75" customHeight="1" s="314">
      <c r="A1060" s="32">
        <f>IF(C1060="","",1332)</f>
        <v/>
      </c>
      <c r="B1060" s="7" t="n">
        <v>46201</v>
      </c>
      <c r="C1060" s="14" t="n"/>
      <c r="D1060" s="16" t="n"/>
      <c r="E1060" s="15" t="inlineStr">
        <is>
          <t>▼</t>
        </is>
      </c>
      <c r="F1060" s="15" t="inlineStr">
        <is>
          <t>▼</t>
        </is>
      </c>
      <c r="G1060" s="16" t="n"/>
      <c r="H1060" s="15" t="inlineStr">
        <is>
          <t>▼</t>
        </is>
      </c>
      <c r="I1060" s="17">
        <f>IF(C1060="","",D1060+IF(F1060="Ambil Obat",IF(G1060="",0,G1060),0))</f>
        <v/>
      </c>
      <c r="J1060" s="12">
        <f>$J$1048</f>
        <v/>
      </c>
      <c r="K1060" s="18" t="inlineStr">
        <is>
          <t>▼</t>
        </is>
      </c>
    </row>
    <row r="1061" ht="21.75" customHeight="1" s="314">
      <c r="A1061" s="6">
        <f>IF(C1061="","",1333)</f>
        <v/>
      </c>
      <c r="B1061" s="7" t="n">
        <v>46201</v>
      </c>
      <c r="C1061" s="8" t="n"/>
      <c r="D1061" s="9" t="n"/>
      <c r="E1061" s="10" t="inlineStr">
        <is>
          <t>▼</t>
        </is>
      </c>
      <c r="F1061" s="10" t="inlineStr">
        <is>
          <t>▼</t>
        </is>
      </c>
      <c r="G1061" s="9" t="n"/>
      <c r="H1061" s="10" t="inlineStr">
        <is>
          <t>▼</t>
        </is>
      </c>
      <c r="I1061" s="11">
        <f>IF(C1061="","",D1061+IF(F1061="Ambil Obat",IF(G1061="",0,G1061),0))</f>
        <v/>
      </c>
      <c r="J1061" s="12">
        <f>$J$1048</f>
        <v/>
      </c>
      <c r="K1061" s="13" t="inlineStr">
        <is>
          <t>▼</t>
        </is>
      </c>
    </row>
    <row r="1062" ht="21.75" customHeight="1" s="314">
      <c r="A1062" s="32">
        <f>IF(C1062="","",1334)</f>
        <v/>
      </c>
      <c r="B1062" s="7" t="n">
        <v>46201</v>
      </c>
      <c r="C1062" s="14" t="n"/>
      <c r="D1062" s="16" t="n"/>
      <c r="E1062" s="15" t="inlineStr">
        <is>
          <t>▼</t>
        </is>
      </c>
      <c r="F1062" s="15" t="inlineStr">
        <is>
          <t>▼</t>
        </is>
      </c>
      <c r="G1062" s="16" t="n"/>
      <c r="H1062" s="15" t="inlineStr">
        <is>
          <t>▼</t>
        </is>
      </c>
      <c r="I1062" s="17">
        <f>IF(C1062="","",D1062+IF(F1062="Ambil Obat",IF(G1062="",0,G1062),0))</f>
        <v/>
      </c>
      <c r="J1062" s="12">
        <f>$J$1048</f>
        <v/>
      </c>
      <c r="K1062" s="18" t="inlineStr">
        <is>
          <t>▼</t>
        </is>
      </c>
    </row>
    <row r="1063" ht="21.75" customHeight="1" s="314">
      <c r="A1063" s="6">
        <f>IF(C1063="","",1335)</f>
        <v/>
      </c>
      <c r="B1063" s="7" t="n">
        <v>46201</v>
      </c>
      <c r="C1063" s="8" t="n"/>
      <c r="D1063" s="9" t="n"/>
      <c r="E1063" s="10" t="inlineStr">
        <is>
          <t>▼</t>
        </is>
      </c>
      <c r="F1063" s="10" t="inlineStr">
        <is>
          <t>▼</t>
        </is>
      </c>
      <c r="G1063" s="9" t="n"/>
      <c r="H1063" s="10" t="inlineStr">
        <is>
          <t>▼</t>
        </is>
      </c>
      <c r="I1063" s="11">
        <f>IF(C1063="","",D1063+IF(F1063="Ambil Obat",IF(G1063="",0,G1063),0))</f>
        <v/>
      </c>
      <c r="J1063" s="12">
        <f>$J$1048</f>
        <v/>
      </c>
      <c r="K1063" s="13" t="inlineStr">
        <is>
          <t>▼</t>
        </is>
      </c>
    </row>
    <row r="1064" ht="24" customHeight="1" s="314">
      <c r="A1064" s="248">
        <f>IF(COUNTA(C1049:C1063)=0,"— belum ada data —","📊 Sub-total  "&amp; TEXT(B1049,"DD MMM YYYY") &amp;"  ("&amp;COUNTA(C1049:C1063)&amp;" pasien)")</f>
        <v/>
      </c>
      <c r="B1064" s="316" t="n"/>
      <c r="C1064" s="316" t="n"/>
      <c r="D1064" s="19">
        <f>IF(COUNTA(C1049:C1063)=0,"",SUM(D1049:D1063))</f>
        <v/>
      </c>
      <c r="E1064" s="20">
        <f>IF(COUNTA(C1049:C1063)=0,"",SUMIF(E1049:E1063,"Cash",D1049:D1063))</f>
        <v/>
      </c>
      <c r="F1064" s="21">
        <f>IF(COUNTA(C1049:C1063)=0,"",SUMIF(E1049:E1063,"Transfer Bank",D1049:D1063))</f>
        <v/>
      </c>
      <c r="G1064" s="19">
        <f>IF(COUNTA(C1049:C1063)=0,"",SUMIF(F1049:F1063,"Ambil Obat",G1049:G1063))</f>
        <v/>
      </c>
      <c r="H1064" s="20">
        <f>IF(COUNTA(C1049:C1063)=0,"",SUMIFS(G1049:G1063,H1049:H1063,"Cash",F1049:F1063,"Ambil Obat"))</f>
        <v/>
      </c>
      <c r="I1064" s="21">
        <f>IF(COUNTA(C1049:C1063)=0,"",SUMIFS(G1049:G1063,H1049:H1063,"Transfer Bank",F1049:F1063,"Ambil Obat"))</f>
        <v/>
      </c>
      <c r="J1064" s="22" t="n"/>
      <c r="K1064" s="23">
        <f>IF(COUNTA(C1049:C1063)=0,"",D1064+G1064)</f>
        <v/>
      </c>
    </row>
    <row r="1065" ht="24" customHeight="1" s="314">
      <c r="A1065" s="249" t="inlineStr">
        <is>
          <t>📅  Senin, 29 Juni 2026</t>
        </is>
      </c>
      <c r="B1065" s="5" t="n"/>
      <c r="C1065" s="5" t="n"/>
      <c r="D1065" s="5" t="n"/>
      <c r="E1065" s="5" t="n"/>
      <c r="F1065" s="5" t="n"/>
      <c r="G1065" s="5" t="n"/>
      <c r="H1065" s="5" t="n"/>
      <c r="I1065" s="5" t="n"/>
      <c r="J1065" s="4" t="inlineStr">
        <is>
          <t>dr. JOJO</t>
        </is>
      </c>
      <c r="K1065" s="5" t="n"/>
    </row>
    <row r="1066" ht="21.75" customHeight="1" s="314">
      <c r="A1066" s="6">
        <f>IF(C1066="","",1336)</f>
        <v/>
      </c>
      <c r="B1066" s="7" t="n">
        <v>46202</v>
      </c>
      <c r="C1066" s="8" t="n"/>
      <c r="D1066" s="9" t="n"/>
      <c r="E1066" s="10" t="inlineStr">
        <is>
          <t>▼</t>
        </is>
      </c>
      <c r="F1066" s="10" t="inlineStr">
        <is>
          <t>▼</t>
        </is>
      </c>
      <c r="G1066" s="9" t="n"/>
      <c r="H1066" s="10" t="inlineStr">
        <is>
          <t>▼</t>
        </is>
      </c>
      <c r="I1066" s="11">
        <f>IF(C1066="","",D1066+IF(F1066="Ambil Obat",IF(G1066="",0,G1066),0))</f>
        <v/>
      </c>
      <c r="J1066" s="12">
        <f>$J$1065</f>
        <v/>
      </c>
      <c r="K1066" s="13" t="inlineStr">
        <is>
          <t>▼</t>
        </is>
      </c>
    </row>
    <row r="1067" ht="21.75" customHeight="1" s="314">
      <c r="A1067" s="32">
        <f>IF(C1067="","",1337)</f>
        <v/>
      </c>
      <c r="B1067" s="7" t="n">
        <v>46202</v>
      </c>
      <c r="C1067" s="14" t="n"/>
      <c r="D1067" s="16" t="n"/>
      <c r="E1067" s="15" t="inlineStr">
        <is>
          <t>▼</t>
        </is>
      </c>
      <c r="F1067" s="15" t="inlineStr">
        <is>
          <t>▼</t>
        </is>
      </c>
      <c r="G1067" s="16" t="n"/>
      <c r="H1067" s="15" t="inlineStr">
        <is>
          <t>▼</t>
        </is>
      </c>
      <c r="I1067" s="17">
        <f>IF(C1067="","",D1067+IF(F1067="Ambil Obat",IF(G1067="",0,G1067),0))</f>
        <v/>
      </c>
      <c r="J1067" s="12">
        <f>$J$1065</f>
        <v/>
      </c>
      <c r="K1067" s="18" t="inlineStr">
        <is>
          <t>▼</t>
        </is>
      </c>
    </row>
    <row r="1068" ht="21.75" customHeight="1" s="314">
      <c r="A1068" s="6">
        <f>IF(C1068="","",1338)</f>
        <v/>
      </c>
      <c r="B1068" s="7" t="n">
        <v>46202</v>
      </c>
      <c r="C1068" s="8" t="n"/>
      <c r="D1068" s="9" t="n"/>
      <c r="E1068" s="10" t="inlineStr">
        <is>
          <t>▼</t>
        </is>
      </c>
      <c r="F1068" s="10" t="inlineStr">
        <is>
          <t>▼</t>
        </is>
      </c>
      <c r="G1068" s="9" t="n"/>
      <c r="H1068" s="10" t="inlineStr">
        <is>
          <t>▼</t>
        </is>
      </c>
      <c r="I1068" s="11">
        <f>IF(C1068="","",D1068+IF(F1068="Ambil Obat",IF(G1068="",0,G1068),0))</f>
        <v/>
      </c>
      <c r="J1068" s="12">
        <f>$J$1065</f>
        <v/>
      </c>
      <c r="K1068" s="13" t="inlineStr">
        <is>
          <t>▼</t>
        </is>
      </c>
    </row>
    <row r="1069" ht="21.75" customHeight="1" s="314">
      <c r="A1069" s="32">
        <f>IF(C1069="","",1339)</f>
        <v/>
      </c>
      <c r="B1069" s="7" t="n">
        <v>46202</v>
      </c>
      <c r="C1069" s="14" t="n"/>
      <c r="D1069" s="16" t="n"/>
      <c r="E1069" s="15" t="inlineStr">
        <is>
          <t>▼</t>
        </is>
      </c>
      <c r="F1069" s="15" t="inlineStr">
        <is>
          <t>▼</t>
        </is>
      </c>
      <c r="G1069" s="16" t="n"/>
      <c r="H1069" s="15" t="inlineStr">
        <is>
          <t>▼</t>
        </is>
      </c>
      <c r="I1069" s="17">
        <f>IF(C1069="","",D1069+IF(F1069="Ambil Obat",IF(G1069="",0,G1069),0))</f>
        <v/>
      </c>
      <c r="J1069" s="12">
        <f>$J$1065</f>
        <v/>
      </c>
      <c r="K1069" s="18" t="inlineStr">
        <is>
          <t>▼</t>
        </is>
      </c>
    </row>
    <row r="1070" ht="21.75" customHeight="1" s="314">
      <c r="A1070" s="6">
        <f>IF(C1070="","",1340)</f>
        <v/>
      </c>
      <c r="B1070" s="7" t="n">
        <v>46202</v>
      </c>
      <c r="C1070" s="8" t="n"/>
      <c r="D1070" s="9" t="n"/>
      <c r="E1070" s="10" t="inlineStr">
        <is>
          <t>▼</t>
        </is>
      </c>
      <c r="F1070" s="10" t="inlineStr">
        <is>
          <t>▼</t>
        </is>
      </c>
      <c r="G1070" s="9" t="n"/>
      <c r="H1070" s="10" t="inlineStr">
        <is>
          <t>▼</t>
        </is>
      </c>
      <c r="I1070" s="11">
        <f>IF(C1070="","",D1070+IF(F1070="Ambil Obat",IF(G1070="",0,G1070),0))</f>
        <v/>
      </c>
      <c r="J1070" s="12">
        <f>$J$1065</f>
        <v/>
      </c>
      <c r="K1070" s="13" t="inlineStr">
        <is>
          <t>▼</t>
        </is>
      </c>
    </row>
    <row r="1071" ht="21.75" customHeight="1" s="314">
      <c r="A1071" s="32">
        <f>IF(C1071="","",1341)</f>
        <v/>
      </c>
      <c r="B1071" s="7" t="n">
        <v>46202</v>
      </c>
      <c r="C1071" s="14" t="n"/>
      <c r="D1071" s="16" t="n"/>
      <c r="E1071" s="15" t="inlineStr">
        <is>
          <t>▼</t>
        </is>
      </c>
      <c r="F1071" s="15" t="inlineStr">
        <is>
          <t>▼</t>
        </is>
      </c>
      <c r="G1071" s="16" t="n"/>
      <c r="H1071" s="15" t="inlineStr">
        <is>
          <t>▼</t>
        </is>
      </c>
      <c r="I1071" s="17">
        <f>IF(C1071="","",D1071+IF(F1071="Ambil Obat",IF(G1071="",0,G1071),0))</f>
        <v/>
      </c>
      <c r="J1071" s="12">
        <f>$J$1065</f>
        <v/>
      </c>
      <c r="K1071" s="18" t="inlineStr">
        <is>
          <t>▼</t>
        </is>
      </c>
    </row>
    <row r="1072" ht="21.75" customHeight="1" s="314">
      <c r="A1072" s="6">
        <f>IF(C1072="","",1342)</f>
        <v/>
      </c>
      <c r="B1072" s="7" t="n">
        <v>46202</v>
      </c>
      <c r="C1072" s="8" t="n"/>
      <c r="D1072" s="9" t="n"/>
      <c r="E1072" s="10" t="inlineStr">
        <is>
          <t>▼</t>
        </is>
      </c>
      <c r="F1072" s="10" t="inlineStr">
        <is>
          <t>▼</t>
        </is>
      </c>
      <c r="G1072" s="9" t="n"/>
      <c r="H1072" s="10" t="inlineStr">
        <is>
          <t>▼</t>
        </is>
      </c>
      <c r="I1072" s="11">
        <f>IF(C1072="","",D1072+IF(F1072="Ambil Obat",IF(G1072="",0,G1072),0))</f>
        <v/>
      </c>
      <c r="J1072" s="12">
        <f>$J$1065</f>
        <v/>
      </c>
      <c r="K1072" s="13" t="inlineStr">
        <is>
          <t>▼</t>
        </is>
      </c>
    </row>
    <row r="1073" ht="21.75" customHeight="1" s="314">
      <c r="A1073" s="32">
        <f>IF(C1073="","",1343)</f>
        <v/>
      </c>
      <c r="B1073" s="7" t="n">
        <v>46202</v>
      </c>
      <c r="C1073" s="14" t="n"/>
      <c r="D1073" s="16" t="n"/>
      <c r="E1073" s="15" t="inlineStr">
        <is>
          <t>▼</t>
        </is>
      </c>
      <c r="F1073" s="15" t="inlineStr">
        <is>
          <t>▼</t>
        </is>
      </c>
      <c r="G1073" s="16" t="n"/>
      <c r="H1073" s="15" t="inlineStr">
        <is>
          <t>▼</t>
        </is>
      </c>
      <c r="I1073" s="17">
        <f>IF(C1073="","",D1073+IF(F1073="Ambil Obat",IF(G1073="",0,G1073),0))</f>
        <v/>
      </c>
      <c r="J1073" s="12">
        <f>$J$1065</f>
        <v/>
      </c>
      <c r="K1073" s="18" t="inlineStr">
        <is>
          <t>▼</t>
        </is>
      </c>
    </row>
    <row r="1074" ht="21.75" customHeight="1" s="314">
      <c r="A1074" s="6">
        <f>IF(C1074="","",1344)</f>
        <v/>
      </c>
      <c r="B1074" s="7" t="n">
        <v>46202</v>
      </c>
      <c r="C1074" s="8" t="n"/>
      <c r="D1074" s="9" t="n"/>
      <c r="E1074" s="10" t="inlineStr">
        <is>
          <t>▼</t>
        </is>
      </c>
      <c r="F1074" s="10" t="inlineStr">
        <is>
          <t>▼</t>
        </is>
      </c>
      <c r="G1074" s="9" t="n"/>
      <c r="H1074" s="10" t="inlineStr">
        <is>
          <t>▼</t>
        </is>
      </c>
      <c r="I1074" s="11">
        <f>IF(C1074="","",D1074+IF(F1074="Ambil Obat",IF(G1074="",0,G1074),0))</f>
        <v/>
      </c>
      <c r="J1074" s="12">
        <f>$J$1065</f>
        <v/>
      </c>
      <c r="K1074" s="13" t="inlineStr">
        <is>
          <t>▼</t>
        </is>
      </c>
    </row>
    <row r="1075" ht="21.75" customHeight="1" s="314">
      <c r="A1075" s="32">
        <f>IF(C1075="","",1345)</f>
        <v/>
      </c>
      <c r="B1075" s="7" t="n">
        <v>46202</v>
      </c>
      <c r="C1075" s="14" t="n"/>
      <c r="D1075" s="16" t="n"/>
      <c r="E1075" s="15" t="inlineStr">
        <is>
          <t>▼</t>
        </is>
      </c>
      <c r="F1075" s="15" t="inlineStr">
        <is>
          <t>▼</t>
        </is>
      </c>
      <c r="G1075" s="16" t="n"/>
      <c r="H1075" s="15" t="inlineStr">
        <is>
          <t>▼</t>
        </is>
      </c>
      <c r="I1075" s="17">
        <f>IF(C1075="","",D1075+IF(F1075="Ambil Obat",IF(G1075="",0,G1075),0))</f>
        <v/>
      </c>
      <c r="J1075" s="12">
        <f>$J$1065</f>
        <v/>
      </c>
      <c r="K1075" s="18" t="inlineStr">
        <is>
          <t>▼</t>
        </is>
      </c>
    </row>
    <row r="1076" ht="21.75" customHeight="1" s="314">
      <c r="A1076" s="6">
        <f>IF(C1076="","",1346)</f>
        <v/>
      </c>
      <c r="B1076" s="7" t="n">
        <v>46202</v>
      </c>
      <c r="C1076" s="8" t="n"/>
      <c r="D1076" s="9" t="n"/>
      <c r="E1076" s="10" t="inlineStr">
        <is>
          <t>▼</t>
        </is>
      </c>
      <c r="F1076" s="10" t="inlineStr">
        <is>
          <t>▼</t>
        </is>
      </c>
      <c r="G1076" s="9" t="n"/>
      <c r="H1076" s="10" t="inlineStr">
        <is>
          <t>▼</t>
        </is>
      </c>
      <c r="I1076" s="11">
        <f>IF(C1076="","",D1076+IF(F1076="Ambil Obat",IF(G1076="",0,G1076),0))</f>
        <v/>
      </c>
      <c r="J1076" s="12">
        <f>$J$1065</f>
        <v/>
      </c>
      <c r="K1076" s="13" t="inlineStr">
        <is>
          <t>▼</t>
        </is>
      </c>
    </row>
    <row r="1077" ht="21.75" customHeight="1" s="314">
      <c r="A1077" s="32">
        <f>IF(C1077="","",1347)</f>
        <v/>
      </c>
      <c r="B1077" s="7" t="n">
        <v>46202</v>
      </c>
      <c r="C1077" s="14" t="n"/>
      <c r="D1077" s="16" t="n"/>
      <c r="E1077" s="15" t="inlineStr">
        <is>
          <t>▼</t>
        </is>
      </c>
      <c r="F1077" s="15" t="inlineStr">
        <is>
          <t>▼</t>
        </is>
      </c>
      <c r="G1077" s="16" t="n"/>
      <c r="H1077" s="15" t="inlineStr">
        <is>
          <t>▼</t>
        </is>
      </c>
      <c r="I1077" s="17">
        <f>IF(C1077="","",D1077+IF(F1077="Ambil Obat",IF(G1077="",0,G1077),0))</f>
        <v/>
      </c>
      <c r="J1077" s="12">
        <f>$J$1065</f>
        <v/>
      </c>
      <c r="K1077" s="18" t="inlineStr">
        <is>
          <t>▼</t>
        </is>
      </c>
    </row>
    <row r="1078" ht="21.75" customHeight="1" s="314">
      <c r="A1078" s="6">
        <f>IF(C1078="","",1348)</f>
        <v/>
      </c>
      <c r="B1078" s="7" t="n">
        <v>46202</v>
      </c>
      <c r="C1078" s="8" t="n"/>
      <c r="D1078" s="9" t="n"/>
      <c r="E1078" s="10" t="inlineStr">
        <is>
          <t>▼</t>
        </is>
      </c>
      <c r="F1078" s="10" t="inlineStr">
        <is>
          <t>▼</t>
        </is>
      </c>
      <c r="G1078" s="9" t="n"/>
      <c r="H1078" s="10" t="inlineStr">
        <is>
          <t>▼</t>
        </is>
      </c>
      <c r="I1078" s="11">
        <f>IF(C1078="","",D1078+IF(F1078="Ambil Obat",IF(G1078="",0,G1078),0))</f>
        <v/>
      </c>
      <c r="J1078" s="12">
        <f>$J$1065</f>
        <v/>
      </c>
      <c r="K1078" s="13" t="inlineStr">
        <is>
          <t>▼</t>
        </is>
      </c>
    </row>
    <row r="1079" ht="21.75" customHeight="1" s="314">
      <c r="A1079" s="32">
        <f>IF(C1079="","",1349)</f>
        <v/>
      </c>
      <c r="B1079" s="7" t="n">
        <v>46202</v>
      </c>
      <c r="C1079" s="14" t="n"/>
      <c r="D1079" s="16" t="n"/>
      <c r="E1079" s="15" t="inlineStr">
        <is>
          <t>▼</t>
        </is>
      </c>
      <c r="F1079" s="15" t="inlineStr">
        <is>
          <t>▼</t>
        </is>
      </c>
      <c r="G1079" s="16" t="n"/>
      <c r="H1079" s="15" t="inlineStr">
        <is>
          <t>▼</t>
        </is>
      </c>
      <c r="I1079" s="17">
        <f>IF(C1079="","",D1079+IF(F1079="Ambil Obat",IF(G1079="",0,G1079),0))</f>
        <v/>
      </c>
      <c r="J1079" s="12">
        <f>$J$1065</f>
        <v/>
      </c>
      <c r="K1079" s="18" t="inlineStr">
        <is>
          <t>▼</t>
        </is>
      </c>
    </row>
    <row r="1080" ht="21.75" customHeight="1" s="314">
      <c r="A1080" s="6">
        <f>IF(C1080="","",1350)</f>
        <v/>
      </c>
      <c r="B1080" s="7" t="n">
        <v>46202</v>
      </c>
      <c r="C1080" s="8" t="n"/>
      <c r="D1080" s="9" t="n"/>
      <c r="E1080" s="10" t="inlineStr">
        <is>
          <t>▼</t>
        </is>
      </c>
      <c r="F1080" s="10" t="inlineStr">
        <is>
          <t>▼</t>
        </is>
      </c>
      <c r="G1080" s="9" t="n"/>
      <c r="H1080" s="10" t="inlineStr">
        <is>
          <t>▼</t>
        </is>
      </c>
      <c r="I1080" s="11">
        <f>IF(C1080="","",D1080+IF(F1080="Ambil Obat",IF(G1080="",0,G1080),0))</f>
        <v/>
      </c>
      <c r="J1080" s="12">
        <f>$J$1065</f>
        <v/>
      </c>
      <c r="K1080" s="13" t="inlineStr">
        <is>
          <t>▼</t>
        </is>
      </c>
    </row>
    <row r="1081" ht="24" customHeight="1" s="314">
      <c r="A1081" s="248">
        <f>IF(COUNTA(C1066:C1080)=0,"— belum ada data —","📊 Sub-total  "&amp; TEXT(B1066,"DD MMM YYYY") &amp;"  ("&amp;COUNTA(C1066:C1080)&amp;" pasien)")</f>
        <v/>
      </c>
      <c r="B1081" s="316" t="n"/>
      <c r="C1081" s="316" t="n"/>
      <c r="D1081" s="19">
        <f>IF(COUNTA(C1066:C1080)=0,"",SUM(D1066:D1080))</f>
        <v/>
      </c>
      <c r="E1081" s="20">
        <f>IF(COUNTA(C1066:C1080)=0,"",SUMIF(E1066:E1080,"Cash",D1066:D1080))</f>
        <v/>
      </c>
      <c r="F1081" s="21">
        <f>IF(COUNTA(C1066:C1080)=0,"",SUMIF(E1066:E1080,"Transfer Bank",D1066:D1080))</f>
        <v/>
      </c>
      <c r="G1081" s="19">
        <f>IF(COUNTA(C1066:C1080)=0,"",SUMIF(F1066:F1080,"Ambil Obat",G1066:G1080))</f>
        <v/>
      </c>
      <c r="H1081" s="20">
        <f>IF(COUNTA(C1066:C1080)=0,"",SUMIFS(G1066:G1080,H1066:H1080,"Cash",F1066:F1080,"Ambil Obat"))</f>
        <v/>
      </c>
      <c r="I1081" s="21">
        <f>IF(COUNTA(C1066:C1080)=0,"",SUMIFS(G1066:G1080,H1066:H1080,"Transfer Bank",F1066:F1080,"Ambil Obat"))</f>
        <v/>
      </c>
      <c r="J1081" s="22" t="n"/>
      <c r="K1081" s="23">
        <f>IF(COUNTA(C1066:C1080)=0,"",D1081+G1081)</f>
        <v/>
      </c>
    </row>
    <row r="1082" ht="24" customHeight="1" s="314">
      <c r="A1082" s="249" t="inlineStr">
        <is>
          <t>📅  Selasa, 30 Juni 2026</t>
        </is>
      </c>
      <c r="B1082" s="5" t="n"/>
      <c r="C1082" s="5" t="n"/>
      <c r="D1082" s="5" t="n"/>
      <c r="E1082" s="5" t="n"/>
      <c r="F1082" s="5" t="n"/>
      <c r="G1082" s="5" t="n"/>
      <c r="H1082" s="5" t="n"/>
      <c r="I1082" s="5" t="n"/>
      <c r="J1082" s="4" t="inlineStr">
        <is>
          <t>dr. HAWA</t>
        </is>
      </c>
      <c r="K1082" s="5" t="n"/>
    </row>
    <row r="1083" ht="21.75" customHeight="1" s="314">
      <c r="A1083" s="6">
        <f>IF(C1083="","",1351)</f>
        <v/>
      </c>
      <c r="B1083" s="7" t="n">
        <v>46203</v>
      </c>
      <c r="C1083" s="8" t="n"/>
      <c r="D1083" s="9" t="n"/>
      <c r="E1083" s="10" t="inlineStr">
        <is>
          <t>▼</t>
        </is>
      </c>
      <c r="F1083" s="10" t="inlineStr">
        <is>
          <t>▼</t>
        </is>
      </c>
      <c r="G1083" s="9" t="n"/>
      <c r="H1083" s="10" t="inlineStr">
        <is>
          <t>▼</t>
        </is>
      </c>
      <c r="I1083" s="11">
        <f>IF(C1083="","",D1083+IF(F1083="Ambil Obat",IF(G1083="",0,G1083),0))</f>
        <v/>
      </c>
      <c r="J1083" s="12">
        <f>$J$1082</f>
        <v/>
      </c>
      <c r="K1083" s="13" t="inlineStr">
        <is>
          <t>▼</t>
        </is>
      </c>
    </row>
    <row r="1084" ht="21.75" customHeight="1" s="314">
      <c r="A1084" s="32">
        <f>IF(C1084="","",1352)</f>
        <v/>
      </c>
      <c r="B1084" s="7" t="n">
        <v>46203</v>
      </c>
      <c r="C1084" s="14" t="n"/>
      <c r="D1084" s="16" t="n"/>
      <c r="E1084" s="15" t="inlineStr">
        <is>
          <t>▼</t>
        </is>
      </c>
      <c r="F1084" s="15" t="inlineStr">
        <is>
          <t>▼</t>
        </is>
      </c>
      <c r="G1084" s="16" t="n"/>
      <c r="H1084" s="15" t="inlineStr">
        <is>
          <t>▼</t>
        </is>
      </c>
      <c r="I1084" s="17">
        <f>IF(C1084="","",D1084+IF(F1084="Ambil Obat",IF(G1084="",0,G1084),0))</f>
        <v/>
      </c>
      <c r="J1084" s="12">
        <f>$J$1082</f>
        <v/>
      </c>
      <c r="K1084" s="18" t="inlineStr">
        <is>
          <t>▼</t>
        </is>
      </c>
    </row>
    <row r="1085" ht="21.75" customHeight="1" s="314">
      <c r="A1085" s="6">
        <f>IF(C1085="","",1353)</f>
        <v/>
      </c>
      <c r="B1085" s="7" t="n">
        <v>46203</v>
      </c>
      <c r="C1085" s="8" t="n"/>
      <c r="D1085" s="9" t="n"/>
      <c r="E1085" s="10" t="inlineStr">
        <is>
          <t>▼</t>
        </is>
      </c>
      <c r="F1085" s="10" t="inlineStr">
        <is>
          <t>▼</t>
        </is>
      </c>
      <c r="G1085" s="9" t="n"/>
      <c r="H1085" s="10" t="inlineStr">
        <is>
          <t>▼</t>
        </is>
      </c>
      <c r="I1085" s="11">
        <f>IF(C1085="","",D1085+IF(F1085="Ambil Obat",IF(G1085="",0,G1085),0))</f>
        <v/>
      </c>
      <c r="J1085" s="12">
        <f>$J$1082</f>
        <v/>
      </c>
      <c r="K1085" s="13" t="inlineStr">
        <is>
          <t>▼</t>
        </is>
      </c>
    </row>
    <row r="1086" ht="21.75" customHeight="1" s="314">
      <c r="A1086" s="32">
        <f>IF(C1086="","",1354)</f>
        <v/>
      </c>
      <c r="B1086" s="7" t="n">
        <v>46203</v>
      </c>
      <c r="C1086" s="14" t="n"/>
      <c r="D1086" s="16" t="n"/>
      <c r="E1086" s="15" t="inlineStr">
        <is>
          <t>▼</t>
        </is>
      </c>
      <c r="F1086" s="15" t="inlineStr">
        <is>
          <t>▼</t>
        </is>
      </c>
      <c r="G1086" s="16" t="n"/>
      <c r="H1086" s="15" t="inlineStr">
        <is>
          <t>▼</t>
        </is>
      </c>
      <c r="I1086" s="17">
        <f>IF(C1086="","",D1086+IF(F1086="Ambil Obat",IF(G1086="",0,G1086),0))</f>
        <v/>
      </c>
      <c r="J1086" s="12">
        <f>$J$1082</f>
        <v/>
      </c>
      <c r="K1086" s="18" t="inlineStr">
        <is>
          <t>▼</t>
        </is>
      </c>
    </row>
    <row r="1087" ht="21.75" customHeight="1" s="314">
      <c r="A1087" s="6">
        <f>IF(C1087="","",1355)</f>
        <v/>
      </c>
      <c r="B1087" s="7" t="n">
        <v>46203</v>
      </c>
      <c r="C1087" s="8" t="n"/>
      <c r="D1087" s="9" t="n"/>
      <c r="E1087" s="10" t="inlineStr">
        <is>
          <t>▼</t>
        </is>
      </c>
      <c r="F1087" s="10" t="inlineStr">
        <is>
          <t>▼</t>
        </is>
      </c>
      <c r="G1087" s="9" t="n"/>
      <c r="H1087" s="10" t="inlineStr">
        <is>
          <t>▼</t>
        </is>
      </c>
      <c r="I1087" s="11">
        <f>IF(C1087="","",D1087+IF(F1087="Ambil Obat",IF(G1087="",0,G1087),0))</f>
        <v/>
      </c>
      <c r="J1087" s="12">
        <f>$J$1082</f>
        <v/>
      </c>
      <c r="K1087" s="13" t="inlineStr">
        <is>
          <t>▼</t>
        </is>
      </c>
    </row>
    <row r="1088" ht="21.75" customHeight="1" s="314">
      <c r="A1088" s="32">
        <f>IF(C1088="","",1356)</f>
        <v/>
      </c>
      <c r="B1088" s="7" t="n">
        <v>46203</v>
      </c>
      <c r="C1088" s="14" t="n"/>
      <c r="D1088" s="16" t="n"/>
      <c r="E1088" s="15" t="inlineStr">
        <is>
          <t>▼</t>
        </is>
      </c>
      <c r="F1088" s="15" t="inlineStr">
        <is>
          <t>▼</t>
        </is>
      </c>
      <c r="G1088" s="16" t="n"/>
      <c r="H1088" s="15" t="inlineStr">
        <is>
          <t>▼</t>
        </is>
      </c>
      <c r="I1088" s="17">
        <f>IF(C1088="","",D1088+IF(F1088="Ambil Obat",IF(G1088="",0,G1088),0))</f>
        <v/>
      </c>
      <c r="J1088" s="12">
        <f>$J$1082</f>
        <v/>
      </c>
      <c r="K1088" s="18" t="inlineStr">
        <is>
          <t>▼</t>
        </is>
      </c>
    </row>
    <row r="1089" ht="21.75" customHeight="1" s="314">
      <c r="A1089" s="6">
        <f>IF(C1089="","",1357)</f>
        <v/>
      </c>
      <c r="B1089" s="7" t="n">
        <v>46203</v>
      </c>
      <c r="C1089" s="8" t="n"/>
      <c r="D1089" s="9" t="n"/>
      <c r="E1089" s="10" t="inlineStr">
        <is>
          <t>▼</t>
        </is>
      </c>
      <c r="F1089" s="10" t="inlineStr">
        <is>
          <t>▼</t>
        </is>
      </c>
      <c r="G1089" s="9" t="n"/>
      <c r="H1089" s="10" t="inlineStr">
        <is>
          <t>▼</t>
        </is>
      </c>
      <c r="I1089" s="11">
        <f>IF(C1089="","",D1089+IF(F1089="Ambil Obat",IF(G1089="",0,G1089),0))</f>
        <v/>
      </c>
      <c r="J1089" s="12">
        <f>$J$1082</f>
        <v/>
      </c>
      <c r="K1089" s="13" t="inlineStr">
        <is>
          <t>▼</t>
        </is>
      </c>
    </row>
    <row r="1090" ht="21.75" customHeight="1" s="314">
      <c r="A1090" s="32">
        <f>IF(C1090="","",1358)</f>
        <v/>
      </c>
      <c r="B1090" s="7" t="n">
        <v>46203</v>
      </c>
      <c r="C1090" s="14" t="n"/>
      <c r="D1090" s="16" t="n"/>
      <c r="E1090" s="15" t="inlineStr">
        <is>
          <t>▼</t>
        </is>
      </c>
      <c r="F1090" s="15" t="inlineStr">
        <is>
          <t>▼</t>
        </is>
      </c>
      <c r="G1090" s="16" t="n"/>
      <c r="H1090" s="15" t="inlineStr">
        <is>
          <t>▼</t>
        </is>
      </c>
      <c r="I1090" s="17">
        <f>IF(C1090="","",D1090+IF(F1090="Ambil Obat",IF(G1090="",0,G1090),0))</f>
        <v/>
      </c>
      <c r="J1090" s="12">
        <f>$J$1082</f>
        <v/>
      </c>
      <c r="K1090" s="18" t="inlineStr">
        <is>
          <t>▼</t>
        </is>
      </c>
    </row>
    <row r="1091" ht="21.75" customHeight="1" s="314">
      <c r="A1091" s="6">
        <f>IF(C1091="","",1359)</f>
        <v/>
      </c>
      <c r="B1091" s="7" t="n">
        <v>46203</v>
      </c>
      <c r="C1091" s="8" t="n"/>
      <c r="D1091" s="9" t="n"/>
      <c r="E1091" s="10" t="inlineStr">
        <is>
          <t>▼</t>
        </is>
      </c>
      <c r="F1091" s="10" t="inlineStr">
        <is>
          <t>▼</t>
        </is>
      </c>
      <c r="G1091" s="9" t="n"/>
      <c r="H1091" s="10" t="inlineStr">
        <is>
          <t>▼</t>
        </is>
      </c>
      <c r="I1091" s="11">
        <f>IF(C1091="","",D1091+IF(F1091="Ambil Obat",IF(G1091="",0,G1091),0))</f>
        <v/>
      </c>
      <c r="J1091" s="12">
        <f>$J$1082</f>
        <v/>
      </c>
      <c r="K1091" s="13" t="inlineStr">
        <is>
          <t>▼</t>
        </is>
      </c>
    </row>
    <row r="1092" ht="21.75" customHeight="1" s="314">
      <c r="A1092" s="32">
        <f>IF(C1092="","",1360)</f>
        <v/>
      </c>
      <c r="B1092" s="7" t="n">
        <v>46203</v>
      </c>
      <c r="C1092" s="14" t="n"/>
      <c r="D1092" s="16" t="n"/>
      <c r="E1092" s="15" t="inlineStr">
        <is>
          <t>▼</t>
        </is>
      </c>
      <c r="F1092" s="15" t="inlineStr">
        <is>
          <t>▼</t>
        </is>
      </c>
      <c r="G1092" s="16" t="n"/>
      <c r="H1092" s="15" t="inlineStr">
        <is>
          <t>▼</t>
        </is>
      </c>
      <c r="I1092" s="17">
        <f>IF(C1092="","",D1092+IF(F1092="Ambil Obat",IF(G1092="",0,G1092),0))</f>
        <v/>
      </c>
      <c r="J1092" s="12">
        <f>$J$1082</f>
        <v/>
      </c>
      <c r="K1092" s="18" t="inlineStr">
        <is>
          <t>▼</t>
        </is>
      </c>
    </row>
    <row r="1093" ht="21.75" customHeight="1" s="314">
      <c r="A1093" s="6">
        <f>IF(C1093="","",1361)</f>
        <v/>
      </c>
      <c r="B1093" s="7" t="n">
        <v>46203</v>
      </c>
      <c r="C1093" s="8" t="n"/>
      <c r="D1093" s="9" t="n"/>
      <c r="E1093" s="10" t="inlineStr">
        <is>
          <t>▼</t>
        </is>
      </c>
      <c r="F1093" s="10" t="inlineStr">
        <is>
          <t>▼</t>
        </is>
      </c>
      <c r="G1093" s="9" t="n"/>
      <c r="H1093" s="10" t="inlineStr">
        <is>
          <t>▼</t>
        </is>
      </c>
      <c r="I1093" s="11">
        <f>IF(C1093="","",D1093+IF(F1093="Ambil Obat",IF(G1093="",0,G1093),0))</f>
        <v/>
      </c>
      <c r="J1093" s="12">
        <f>$J$1082</f>
        <v/>
      </c>
      <c r="K1093" s="13" t="inlineStr">
        <is>
          <t>▼</t>
        </is>
      </c>
    </row>
    <row r="1094" ht="21.75" customHeight="1" s="314">
      <c r="A1094" s="32">
        <f>IF(C1094="","",1362)</f>
        <v/>
      </c>
      <c r="B1094" s="7" t="n">
        <v>46203</v>
      </c>
      <c r="C1094" s="14" t="n"/>
      <c r="D1094" s="16" t="n"/>
      <c r="E1094" s="15" t="inlineStr">
        <is>
          <t>▼</t>
        </is>
      </c>
      <c r="F1094" s="15" t="inlineStr">
        <is>
          <t>▼</t>
        </is>
      </c>
      <c r="G1094" s="16" t="n"/>
      <c r="H1094" s="15" t="inlineStr">
        <is>
          <t>▼</t>
        </is>
      </c>
      <c r="I1094" s="17">
        <f>IF(C1094="","",D1094+IF(F1094="Ambil Obat",IF(G1094="",0,G1094),0))</f>
        <v/>
      </c>
      <c r="J1094" s="12">
        <f>$J$1082</f>
        <v/>
      </c>
      <c r="K1094" s="18" t="inlineStr">
        <is>
          <t>▼</t>
        </is>
      </c>
    </row>
    <row r="1095" ht="21.75" customHeight="1" s="314">
      <c r="A1095" s="6">
        <f>IF(C1095="","",1363)</f>
        <v/>
      </c>
      <c r="B1095" s="7" t="n">
        <v>46203</v>
      </c>
      <c r="C1095" s="8" t="n"/>
      <c r="D1095" s="9" t="n"/>
      <c r="E1095" s="10" t="inlineStr">
        <is>
          <t>▼</t>
        </is>
      </c>
      <c r="F1095" s="10" t="inlineStr">
        <is>
          <t>▼</t>
        </is>
      </c>
      <c r="G1095" s="9" t="n"/>
      <c r="H1095" s="10" t="inlineStr">
        <is>
          <t>▼</t>
        </is>
      </c>
      <c r="I1095" s="11">
        <f>IF(C1095="","",D1095+IF(F1095="Ambil Obat",IF(G1095="",0,G1095),0))</f>
        <v/>
      </c>
      <c r="J1095" s="12">
        <f>$J$1082</f>
        <v/>
      </c>
      <c r="K1095" s="13" t="inlineStr">
        <is>
          <t>▼</t>
        </is>
      </c>
    </row>
    <row r="1096" ht="21.75" customHeight="1" s="314">
      <c r="A1096" s="32">
        <f>IF(C1096="","",1364)</f>
        <v/>
      </c>
      <c r="B1096" s="7" t="n">
        <v>46203</v>
      </c>
      <c r="C1096" s="14" t="n"/>
      <c r="D1096" s="16" t="n"/>
      <c r="E1096" s="15" t="inlineStr">
        <is>
          <t>▼</t>
        </is>
      </c>
      <c r="F1096" s="15" t="inlineStr">
        <is>
          <t>▼</t>
        </is>
      </c>
      <c r="G1096" s="16" t="n"/>
      <c r="H1096" s="15" t="inlineStr">
        <is>
          <t>▼</t>
        </is>
      </c>
      <c r="I1096" s="17">
        <f>IF(C1096="","",D1096+IF(F1096="Ambil Obat",IF(G1096="",0,G1096),0))</f>
        <v/>
      </c>
      <c r="J1096" s="12">
        <f>$J$1082</f>
        <v/>
      </c>
      <c r="K1096" s="18" t="inlineStr">
        <is>
          <t>▼</t>
        </is>
      </c>
    </row>
    <row r="1097" ht="21.75" customHeight="1" s="314">
      <c r="A1097" s="6">
        <f>IF(C1097="","",1365)</f>
        <v/>
      </c>
      <c r="B1097" s="7" t="n">
        <v>46203</v>
      </c>
      <c r="C1097" s="8" t="n"/>
      <c r="D1097" s="9" t="n"/>
      <c r="E1097" s="10" t="inlineStr">
        <is>
          <t>▼</t>
        </is>
      </c>
      <c r="F1097" s="10" t="inlineStr">
        <is>
          <t>▼</t>
        </is>
      </c>
      <c r="G1097" s="9" t="n"/>
      <c r="H1097" s="10" t="inlineStr">
        <is>
          <t>▼</t>
        </is>
      </c>
      <c r="I1097" s="11">
        <f>IF(C1097="","",D1097+IF(F1097="Ambil Obat",IF(G1097="",0,G1097),0))</f>
        <v/>
      </c>
      <c r="J1097" s="12">
        <f>$J$1082</f>
        <v/>
      </c>
      <c r="K1097" s="13" t="inlineStr">
        <is>
          <t>▼</t>
        </is>
      </c>
    </row>
    <row r="1098" ht="24" customHeight="1" s="314">
      <c r="A1098" s="248">
        <f>IF(COUNTA(C1083:C1097)=0,"— belum ada data —","📊 Sub-total  "&amp; TEXT(B1083,"DD MMM YYYY") &amp;"  ("&amp;COUNTA(C1083:C1097)&amp;" pasien)")</f>
        <v/>
      </c>
      <c r="B1098" s="316" t="n"/>
      <c r="C1098" s="316" t="n"/>
      <c r="D1098" s="19">
        <f>IF(COUNTA(C1083:C1097)=0,"",SUM(D1083:D1097))</f>
        <v/>
      </c>
      <c r="E1098" s="20">
        <f>IF(COUNTA(C1083:C1097)=0,"",SUMIF(E1083:E1097,"Cash",D1083:D1097))</f>
        <v/>
      </c>
      <c r="F1098" s="21">
        <f>IF(COUNTA(C1083:C1097)=0,"",SUMIF(E1083:E1097,"Transfer Bank",D1083:D1097))</f>
        <v/>
      </c>
      <c r="G1098" s="19">
        <f>IF(COUNTA(C1083:C1097)=0,"",SUMIF(F1083:F1097,"Ambil Obat",G1083:G1097))</f>
        <v/>
      </c>
      <c r="H1098" s="20">
        <f>IF(COUNTA(C1083:C1097)=0,"",SUMIFS(G1083:G1097,H1083:H1097,"Cash",F1083:F1097,"Ambil Obat"))</f>
        <v/>
      </c>
      <c r="I1098" s="21">
        <f>IF(COUNTA(C1083:C1097)=0,"",SUMIFS(G1083:G1097,H1083:H1097,"Transfer Bank",F1083:F1097,"Ambil Obat"))</f>
        <v/>
      </c>
      <c r="J1098" s="22" t="n"/>
      <c r="K1098" s="23">
        <f>IF(COUNTA(C1083:C1097)=0,"",D1098+G1098)</f>
        <v/>
      </c>
    </row>
    <row r="1099" ht="6" customHeight="1" s="314">
      <c r="A1099" s="250" t="n"/>
    </row>
    <row r="1100" ht="31.5" customHeight="1" s="314">
      <c r="A1100" s="251" t="inlineStr">
        <is>
          <t>💰  RINGKASAN TOTAL PEMBAYARAN — CASH &amp; TRANSFER BANK</t>
        </is>
      </c>
      <c r="B1100" s="33" t="n"/>
      <c r="C1100" s="33" t="n"/>
      <c r="D1100" s="33" t="n"/>
      <c r="E1100" s="33" t="n"/>
      <c r="F1100" s="33" t="n"/>
      <c r="G1100" s="33" t="n"/>
      <c r="H1100" s="33" t="n"/>
      <c r="I1100" s="33" t="n"/>
      <c r="J1100" s="22" t="n"/>
      <c r="K1100" s="33" t="n"/>
    </row>
    <row r="1101" ht="27.75" customHeight="1" s="314">
      <c r="A1101" s="239" t="inlineStr">
        <is>
          <t>Jenis Pembayaran</t>
        </is>
      </c>
      <c r="B1101" s="317" t="n"/>
      <c r="C1101" s="317" t="n"/>
      <c r="D1101" s="34" t="inlineStr">
        <is>
          <t>Biaya Dokter (Rp)</t>
        </is>
      </c>
      <c r="E1101" s="34" t="inlineStr">
        <is>
          <t>Jml Transaksi
Dokter</t>
        </is>
      </c>
      <c r="F1101" s="34" t="inlineStr">
        <is>
          <t>Status Obat</t>
        </is>
      </c>
      <c r="G1101" s="34" t="inlineStr">
        <is>
          <t>Biaya Obat (Rp)</t>
        </is>
      </c>
      <c r="H1101" s="34" t="inlineStr">
        <is>
          <t>Jml Transaksi
Obat</t>
        </is>
      </c>
      <c r="I1101" s="34" t="inlineStr">
        <is>
          <t>Grand Total (Rp)</t>
        </is>
      </c>
      <c r="K1101" s="34" t="inlineStr">
        <is>
          <t>Grand Total
(Dok+Obat)</t>
        </is>
      </c>
    </row>
    <row r="1102" ht="27.75" customHeight="1" s="314">
      <c r="A1102" s="240" t="inlineStr">
        <is>
          <t>📊  TOTAL KESELURUHAN</t>
        </is>
      </c>
      <c r="B1102" s="33" t="n"/>
      <c r="C1102" s="33" t="n"/>
      <c r="D1102" s="35">
        <f>SUMIF(C7:C1097,"&lt;&gt;",D7:D1097)</f>
        <v/>
      </c>
      <c r="E1102" s="36">
        <f>COUNTA(E7:E1097)-COUNTBLANK(E7:E1097)</f>
        <v/>
      </c>
      <c r="F1102" s="37">
        <f>COUNTA(C7:C1097)</f>
        <v/>
      </c>
      <c r="G1102" s="35">
        <f>SUMIF(F7:F1097,"Ambil Obat",G7:G1097)</f>
        <v/>
      </c>
      <c r="H1102" s="36">
        <f>COUNTA(H7:H1097)-COUNTBLANK(H7:H1097)</f>
        <v/>
      </c>
      <c r="I1102" s="35">
        <f>SUMIF(C7:C1097,"&lt;&gt;",D7:D1097)+SUMIF(F7:F1097,"Ambil Obat",G7:G1097)</f>
        <v/>
      </c>
      <c r="J1102" s="22" t="n"/>
      <c r="K1102" s="38" t="inlineStr">
        <is>
          <t>"100%"</t>
        </is>
      </c>
    </row>
    <row r="1103" ht="3" customHeight="1" s="314">
      <c r="A1103" s="241" t="n"/>
    </row>
    <row r="1104" ht="27.75" customHeight="1" s="314">
      <c r="A1104" s="242" t="inlineStr">
        <is>
          <t>💵  TOTAL CASH</t>
        </is>
      </c>
      <c r="B1104" s="318" t="n"/>
      <c r="C1104" s="318" t="n"/>
      <c r="D1104" s="39">
        <f>SUMIF(E7:E1097,"Cash",D7:D1097)</f>
        <v/>
      </c>
      <c r="E1104" s="40">
        <f>COUNTIF(E7:E1097,"Cash")&amp;" transaksi"</f>
        <v/>
      </c>
      <c r="F1104" s="41">
        <f>COUNTIF(E7:E1097,"Cash")</f>
        <v/>
      </c>
      <c r="G1104" s="39">
        <f>SUMIF(H7:H1097,"Cash",G7:G1097)</f>
        <v/>
      </c>
      <c r="H1104" s="40">
        <f>COUNTIF(H7:H1097,"Cash")&amp;" transaksi"</f>
        <v/>
      </c>
      <c r="I1104" s="20">
        <f>SUMIF(E7:E1097,"Cash",D7:D1097)+SUMIFS(G7:G1097,H7:H1097,"Cash",F7:F1097,"Ambil Obat")</f>
        <v/>
      </c>
      <c r="J1104" s="22" t="n"/>
      <c r="K1104" s="42">
        <f>IF(I1102=0,"",I1104/I1102)</f>
        <v/>
      </c>
    </row>
    <row r="1105" ht="27.75" customHeight="1" s="314">
      <c r="A1105" s="243" t="inlineStr">
        <is>
          <t>🏦  TOTAL TRANSFER BANK</t>
        </is>
      </c>
      <c r="B1105" s="319" t="n"/>
      <c r="C1105" s="319" t="n"/>
      <c r="D1105" s="43">
        <f>SUMIF(E7:E1097,"Transfer Bank",D7:D1097)</f>
        <v/>
      </c>
      <c r="E1105" s="44">
        <f>COUNTIF(E7:E1097,"Transfer Bank")&amp;" transaksi"</f>
        <v/>
      </c>
      <c r="F1105" s="45">
        <f>COUNTIF(E7:E1097,"Transfer Bank")</f>
        <v/>
      </c>
      <c r="G1105" s="43">
        <f>SUMIF(H7:H1097,"Transfer Bank",G7:G1097)</f>
        <v/>
      </c>
      <c r="H1105" s="44">
        <f>COUNTIF(H7:H1097,"Transfer Bank")&amp;" transaksi"</f>
        <v/>
      </c>
      <c r="I1105" s="21">
        <f>SUMIF(E7:E1097,"Transfer Bank",D7:D1097)+SUMIFS(G7:G1097,H7:H1097,"Transfer Bank",F7:F1097,"Ambil Obat")</f>
        <v/>
      </c>
      <c r="J1105" s="22" t="n"/>
      <c r="K1105" s="46">
        <f>IF(I1102=0,"",I1105/I1102)</f>
        <v/>
      </c>
    </row>
    <row r="1106" ht="3" customHeight="1" s="314">
      <c r="A1106" s="244" t="n"/>
      <c r="B1106" s="47" t="n"/>
      <c r="C1106" s="47" t="n"/>
      <c r="D1106" s="47" t="n"/>
      <c r="E1106" s="47" t="n"/>
      <c r="F1106" s="47" t="n"/>
      <c r="G1106" s="47" t="n"/>
      <c r="H1106" s="47" t="n"/>
      <c r="I1106" s="47" t="n"/>
      <c r="K1106" s="47" t="n"/>
    </row>
    <row r="1107" ht="25.5" customHeight="1" s="314">
      <c r="A1107" s="245" t="inlineStr">
        <is>
          <t>❌  TIDAK AMBIL OBAT</t>
        </is>
      </c>
      <c r="B1107" s="52" t="n"/>
      <c r="C1107" s="52" t="n"/>
      <c r="D1107" s="48" t="inlineStr">
        <is>
          <t>—</t>
        </is>
      </c>
      <c r="E1107" s="49" t="n"/>
      <c r="F1107" s="49" t="n"/>
      <c r="G1107" s="50">
        <f>SUMIF(F7:F1097,"Tidak Ambil Obat",G7:G1097)</f>
        <v/>
      </c>
      <c r="H1107" s="49" t="n"/>
      <c r="I1107" s="51">
        <f>COUNTIF(F7:F1097,"Tidak Ambil Obat")&amp;" pasien — biaya obat tidak dihitung"</f>
        <v/>
      </c>
      <c r="K1107" s="52" t="n"/>
    </row>
    <row r="1108" ht="25.5" customHeight="1" s="314">
      <c r="A1108" s="246" t="inlineStr">
        <is>
          <t>👥  JUMLAH PASIEN TERCATAT</t>
        </is>
      </c>
      <c r="B1108" s="54" t="n"/>
      <c r="C1108" s="54" t="n"/>
      <c r="D1108" s="53">
        <f>COUNTA(C7:C1097)</f>
        <v/>
      </c>
      <c r="E1108" s="247" t="inlineStr">
        <is>
          <t>Periode: 01 April 2026 — 30 Juni 2026   |   15 slot/hari × 91 hari = 1.365 slot total</t>
        </is>
      </c>
      <c r="F1108" s="54" t="n"/>
      <c r="G1108" s="54" t="n"/>
      <c r="H1108" s="54" t="n"/>
      <c r="I1108" s="54" t="n"/>
      <c r="K1108" s="54" t="n"/>
    </row>
    <row r="1109" ht="15" customHeight="1" s="314">
      <c r="A1109" s="55" t="n"/>
      <c r="B1109" s="55" t="n"/>
      <c r="C1109" s="55" t="n"/>
      <c r="D1109" s="55" t="n"/>
      <c r="E1109" s="55" t="n"/>
      <c r="F1109" s="55" t="n"/>
      <c r="G1109" s="55" t="n"/>
      <c r="H1109" s="55" t="n"/>
      <c r="I1109" s="55" t="n"/>
      <c r="K1109" s="55" t="n"/>
    </row>
    <row r="1110" ht="15" customHeight="1" s="314">
      <c r="A1110" s="55" t="n"/>
      <c r="B1110" s="55" t="n"/>
      <c r="C1110" s="55" t="n"/>
      <c r="D1110" s="55" t="n"/>
      <c r="E1110" s="55" t="n"/>
      <c r="F1110" s="55" t="n"/>
      <c r="G1110" s="55" t="n"/>
      <c r="H1110" s="55" t="n"/>
      <c r="I1110" s="55" t="n"/>
      <c r="K1110" s="55" t="n"/>
    </row>
    <row r="1111" ht="15" customHeight="1" s="314">
      <c r="A1111" s="55" t="n"/>
      <c r="B1111" s="55" t="n"/>
      <c r="C1111" s="55" t="n"/>
      <c r="D1111" s="55" t="n"/>
      <c r="E1111" s="55" t="n"/>
      <c r="F1111" s="55" t="n"/>
      <c r="G1111" s="55" t="n"/>
      <c r="H1111" s="55" t="n"/>
      <c r="I1111" s="55" t="n"/>
      <c r="K1111" s="55" t="n"/>
    </row>
    <row r="1112" ht="15" customHeight="1" s="314">
      <c r="A1112" s="55" t="n"/>
      <c r="B1112" s="55" t="n"/>
      <c r="C1112" s="55" t="n"/>
      <c r="D1112" s="55" t="n"/>
      <c r="E1112" s="55" t="n"/>
      <c r="F1112" s="55" t="n"/>
      <c r="G1112" s="55" t="n"/>
      <c r="H1112" s="55" t="n"/>
      <c r="I1112" s="55" t="n"/>
      <c r="K1112" s="55" t="n"/>
    </row>
    <row r="1113" ht="15" customHeight="1" s="314">
      <c r="A1113" s="55" t="n"/>
      <c r="B1113" s="55" t="n"/>
      <c r="C1113" s="55" t="n"/>
      <c r="D1113" s="55" t="n"/>
      <c r="E1113" s="55" t="n"/>
      <c r="F1113" s="55" t="n"/>
      <c r="G1113" s="55" t="n"/>
      <c r="H1113" s="55" t="n"/>
      <c r="I1113" s="55" t="n"/>
      <c r="K1113" s="55" t="n"/>
    </row>
    <row r="1114" ht="15" customHeight="1" s="314">
      <c r="A1114" s="55" t="n"/>
      <c r="B1114" s="55" t="n"/>
      <c r="C1114" s="55" t="n"/>
      <c r="D1114" s="55" t="n"/>
      <c r="E1114" s="55" t="n"/>
      <c r="F1114" s="55" t="n"/>
      <c r="G1114" s="55" t="n"/>
      <c r="H1114" s="55" t="n"/>
      <c r="I1114" s="55" t="n"/>
      <c r="K1114" s="55" t="n"/>
    </row>
    <row r="1115" ht="15" customHeight="1" s="314">
      <c r="A1115" s="55" t="n"/>
      <c r="B1115" s="55" t="n"/>
      <c r="C1115" s="55" t="n"/>
      <c r="D1115" s="55" t="n"/>
      <c r="E1115" s="55" t="n"/>
      <c r="F1115" s="55" t="n"/>
      <c r="G1115" s="55" t="n"/>
      <c r="H1115" s="55" t="n"/>
      <c r="I1115" s="55" t="n"/>
      <c r="K1115" s="55" t="n"/>
    </row>
    <row r="1116" ht="15" customHeight="1" s="314">
      <c r="A1116" s="55" t="n"/>
      <c r="B1116" s="55" t="n"/>
      <c r="C1116" s="55" t="n"/>
      <c r="D1116" s="55" t="n"/>
      <c r="E1116" s="55" t="n"/>
      <c r="F1116" s="55" t="n"/>
      <c r="G1116" s="55" t="n"/>
      <c r="H1116" s="55" t="n"/>
      <c r="I1116" s="55" t="n"/>
      <c r="K1116" s="55" t="n"/>
    </row>
    <row r="1117" ht="15" customHeight="1" s="314">
      <c r="A1117" s="55" t="n"/>
      <c r="B1117" s="55" t="n"/>
      <c r="C1117" s="55" t="n"/>
      <c r="D1117" s="55" t="n"/>
      <c r="E1117" s="55" t="n"/>
      <c r="F1117" s="55" t="n"/>
      <c r="G1117" s="55" t="n"/>
      <c r="H1117" s="55" t="n"/>
      <c r="I1117" s="55" t="n"/>
      <c r="K1117" s="55" t="n"/>
    </row>
    <row r="1118" ht="15" customHeight="1" s="314">
      <c r="A1118" s="55" t="n"/>
      <c r="B1118" s="55" t="n"/>
      <c r="C1118" s="55" t="n"/>
      <c r="D1118" s="55" t="n"/>
      <c r="E1118" s="55" t="n"/>
      <c r="F1118" s="55" t="n"/>
      <c r="G1118" s="55" t="n"/>
      <c r="H1118" s="55" t="n"/>
      <c r="I1118" s="55" t="n"/>
      <c r="K1118" s="55" t="n"/>
    </row>
    <row r="1119" ht="15" customHeight="1" s="314">
      <c r="A1119" s="55" t="n"/>
      <c r="B1119" s="55" t="n"/>
      <c r="C1119" s="55" t="n"/>
      <c r="D1119" s="55" t="n"/>
      <c r="E1119" s="55" t="n"/>
      <c r="F1119" s="55" t="n"/>
      <c r="G1119" s="55" t="n"/>
      <c r="H1119" s="55" t="n"/>
      <c r="I1119" s="55" t="n"/>
      <c r="K1119" s="55" t="n"/>
    </row>
    <row r="1120" ht="15" customHeight="1" s="314">
      <c r="A1120" s="55" t="n"/>
      <c r="B1120" s="55" t="n"/>
      <c r="C1120" s="55" t="n"/>
      <c r="D1120" s="55" t="n"/>
      <c r="E1120" s="55" t="n"/>
      <c r="F1120" s="55" t="n"/>
      <c r="G1120" s="55" t="n"/>
      <c r="H1120" s="55" t="n"/>
      <c r="I1120" s="55" t="n"/>
      <c r="K1120" s="55" t="n"/>
    </row>
    <row r="1121" ht="15" customHeight="1" s="314">
      <c r="A1121" s="55" t="n"/>
      <c r="B1121" s="55" t="n"/>
      <c r="C1121" s="55" t="n"/>
      <c r="D1121" s="55" t="n"/>
      <c r="E1121" s="55" t="n"/>
      <c r="F1121" s="55" t="n"/>
      <c r="G1121" s="55" t="n"/>
      <c r="H1121" s="55" t="n"/>
      <c r="I1121" s="55" t="n"/>
      <c r="K1121" s="55" t="n"/>
    </row>
  </sheetData>
  <autoFilter ref="A5:I1097"/>
  <mergeCells count="198">
    <mergeCell ref="A316:C316"/>
    <mergeCell ref="A606:I606"/>
    <mergeCell ref="A996:C996"/>
    <mergeCell ref="A128:C128"/>
    <mergeCell ref="A41:I41"/>
    <mergeCell ref="A792:C792"/>
    <mergeCell ref="A255:C255"/>
    <mergeCell ref="A1081:C1081"/>
    <mergeCell ref="A164:I164"/>
    <mergeCell ref="A277:I277"/>
    <mergeCell ref="A469:C469"/>
    <mergeCell ref="A571:C571"/>
    <mergeCell ref="A105:C105"/>
    <mergeCell ref="A214:I214"/>
    <mergeCell ref="A57:C57"/>
    <mergeCell ref="A775:C775"/>
    <mergeCell ref="A2:I2"/>
    <mergeCell ref="A85:I85"/>
    <mergeCell ref="A1014:I1014"/>
    <mergeCell ref="A725:I725"/>
    <mergeCell ref="A895:I895"/>
    <mergeCell ref="A135:I135"/>
    <mergeCell ref="A109:I109"/>
    <mergeCell ref="A504:I504"/>
    <mergeCell ref="A1103:I1103"/>
    <mergeCell ref="A538:I538"/>
    <mergeCell ref="A911:C911"/>
    <mergeCell ref="A19:I19"/>
    <mergeCell ref="A63:C63"/>
    <mergeCell ref="A299:C299"/>
    <mergeCell ref="A28:I28"/>
    <mergeCell ref="A93:C93"/>
    <mergeCell ref="A245:I245"/>
    <mergeCell ref="A742:I742"/>
    <mergeCell ref="A860:C860"/>
    <mergeCell ref="A1030:C1030"/>
    <mergeCell ref="A270:C270"/>
    <mergeCell ref="A639:C639"/>
    <mergeCell ref="A520:C520"/>
    <mergeCell ref="A103:I103"/>
    <mergeCell ref="A623:I623"/>
    <mergeCell ref="A79:I79"/>
    <mergeCell ref="A61:I61"/>
    <mergeCell ref="A69:C69"/>
    <mergeCell ref="A367:C367"/>
    <mergeCell ref="A196:C196"/>
    <mergeCell ref="A66:C66"/>
    <mergeCell ref="A75:C75"/>
    <mergeCell ref="A674:I674"/>
    <mergeCell ref="A963:I963"/>
    <mergeCell ref="A572:I572"/>
    <mergeCell ref="A453:I453"/>
    <mergeCell ref="A418:C418"/>
    <mergeCell ref="A758:C758"/>
    <mergeCell ref="A1047:C1047"/>
    <mergeCell ref="A1106:I1106"/>
    <mergeCell ref="A657:I657"/>
    <mergeCell ref="A129:I129"/>
    <mergeCell ref="A1082:I1082"/>
    <mergeCell ref="A793:I793"/>
    <mergeCell ref="A76:I76"/>
    <mergeCell ref="A1098:C1098"/>
    <mergeCell ref="A1107:C1107"/>
    <mergeCell ref="A290:C290"/>
    <mergeCell ref="A877:C877"/>
    <mergeCell ref="A588:C588"/>
    <mergeCell ref="A91:I91"/>
    <mergeCell ref="A81:C81"/>
    <mergeCell ref="A96:C96"/>
    <mergeCell ref="A100:I100"/>
    <mergeCell ref="A231:I231"/>
    <mergeCell ref="A52:I52"/>
    <mergeCell ref="A827:I827"/>
    <mergeCell ref="A115:I115"/>
    <mergeCell ref="A673:C673"/>
    <mergeCell ref="A40:C40"/>
    <mergeCell ref="A1031:I1031"/>
    <mergeCell ref="A912:I912"/>
    <mergeCell ref="A51:C51"/>
    <mergeCell ref="A368:I368"/>
    <mergeCell ref="A60:C60"/>
    <mergeCell ref="A1101:C1101"/>
    <mergeCell ref="A521:I521"/>
    <mergeCell ref="A4:E4"/>
    <mergeCell ref="A691:I691"/>
    <mergeCell ref="A49:I49"/>
    <mergeCell ref="A402:I402"/>
    <mergeCell ref="A707:C707"/>
    <mergeCell ref="A810:I810"/>
    <mergeCell ref="A809:C809"/>
    <mergeCell ref="A123:C123"/>
    <mergeCell ref="A300:I300"/>
    <mergeCell ref="A844:I844"/>
    <mergeCell ref="A334:I334"/>
    <mergeCell ref="A1:I1"/>
    <mergeCell ref="A94:I94"/>
    <mergeCell ref="A146:C146"/>
    <mergeCell ref="A486:C486"/>
    <mergeCell ref="A256:I256"/>
    <mergeCell ref="A271:I271"/>
    <mergeCell ref="A1013:C1013"/>
    <mergeCell ref="A99:C99"/>
    <mergeCell ref="A183:I183"/>
    <mergeCell ref="A690:C690"/>
    <mergeCell ref="A108:C108"/>
    <mergeCell ref="A419:I419"/>
    <mergeCell ref="A84:C84"/>
    <mergeCell ref="A537:C537"/>
    <mergeCell ref="A317:I317"/>
    <mergeCell ref="A826:C826"/>
    <mergeCell ref="E1108:I1108"/>
    <mergeCell ref="A18:C18"/>
    <mergeCell ref="A163:C163"/>
    <mergeCell ref="A3:I3"/>
    <mergeCell ref="A640:I640"/>
    <mergeCell ref="A55:I55"/>
    <mergeCell ref="A1065:I1065"/>
    <mergeCell ref="A776:I776"/>
    <mergeCell ref="A213:C213"/>
    <mergeCell ref="A384:C384"/>
    <mergeCell ref="A151:C151"/>
    <mergeCell ref="A946:I946"/>
    <mergeCell ref="F4:I4"/>
    <mergeCell ref="A106:I106"/>
    <mergeCell ref="A759:I759"/>
    <mergeCell ref="A470:I470"/>
    <mergeCell ref="A1064:C1064"/>
    <mergeCell ref="A1104:C1104"/>
    <mergeCell ref="A945:C945"/>
    <mergeCell ref="A72:C72"/>
    <mergeCell ref="A147:I147"/>
    <mergeCell ref="A134:C134"/>
    <mergeCell ref="A401:C401"/>
    <mergeCell ref="A436:I436"/>
    <mergeCell ref="A554:C554"/>
    <mergeCell ref="A724:C724"/>
    <mergeCell ref="A435:C435"/>
    <mergeCell ref="A962:C962"/>
    <mergeCell ref="A67:I67"/>
    <mergeCell ref="A114:C114"/>
    <mergeCell ref="A894:C894"/>
    <mergeCell ref="A605:C605"/>
    <mergeCell ref="A182:C182"/>
    <mergeCell ref="A82:I82"/>
    <mergeCell ref="A980:I980"/>
    <mergeCell ref="A132:I132"/>
    <mergeCell ref="A197:I197"/>
    <mergeCell ref="A124:I124"/>
    <mergeCell ref="A6:I6"/>
    <mergeCell ref="A54:C54"/>
    <mergeCell ref="A90:C90"/>
    <mergeCell ref="A929:I929"/>
    <mergeCell ref="A997:I997"/>
    <mergeCell ref="A708:I708"/>
    <mergeCell ref="A118:I118"/>
    <mergeCell ref="A27:C27"/>
    <mergeCell ref="A385:I385"/>
    <mergeCell ref="A351:I351"/>
    <mergeCell ref="A487:I487"/>
    <mergeCell ref="A503:C503"/>
    <mergeCell ref="A1102:C1102"/>
    <mergeCell ref="A1108:C1108"/>
    <mergeCell ref="A1048:I1048"/>
    <mergeCell ref="A1099:I1099"/>
    <mergeCell ref="A87:C87"/>
    <mergeCell ref="A878:I878"/>
    <mergeCell ref="A131:C131"/>
    <mergeCell ref="A244:C244"/>
    <mergeCell ref="A843:C843"/>
    <mergeCell ref="A97:I97"/>
    <mergeCell ref="A622:C622"/>
    <mergeCell ref="A333:C333"/>
    <mergeCell ref="A656:C656"/>
    <mergeCell ref="A112:I112"/>
    <mergeCell ref="A152:I152"/>
    <mergeCell ref="A1100:I1100"/>
    <mergeCell ref="A102:C102"/>
    <mergeCell ref="A117:C117"/>
    <mergeCell ref="A230:C230"/>
    <mergeCell ref="A111:C111"/>
    <mergeCell ref="A276:C276"/>
    <mergeCell ref="A58:I58"/>
    <mergeCell ref="A1105:C1105"/>
    <mergeCell ref="A48:C48"/>
    <mergeCell ref="A350:C350"/>
    <mergeCell ref="A64:I64"/>
    <mergeCell ref="A928:C928"/>
    <mergeCell ref="A73:I73"/>
    <mergeCell ref="A555:I555"/>
    <mergeCell ref="A291:I291"/>
    <mergeCell ref="A589:I589"/>
    <mergeCell ref="A452:C452"/>
    <mergeCell ref="A741:C741"/>
    <mergeCell ref="A88:I88"/>
    <mergeCell ref="A70:I70"/>
    <mergeCell ref="A861:I861"/>
    <mergeCell ref="A78:C78"/>
    <mergeCell ref="A979:C979"/>
  </mergeCells>
  <conditionalFormatting sqref="A289:C1097 I110 I117:I1097">
    <cfRule type="expression" priority="5" dxfId="0">
      <formula>$F110="Tidak Ambil Obat"</formula>
    </cfRule>
  </conditionalFormatting>
  <conditionalFormatting sqref="G272:G275">
    <cfRule type="expression" priority="6" dxfId="2">
      <formula>$H272="Cash"</formula>
    </cfRule>
    <cfRule type="expression" priority="7" dxfId="1">
      <formula>$H272="Transfer Bank"</formula>
    </cfRule>
    <cfRule type="expression" priority="8" dxfId="0">
      <formula>$F272="Tidak Ambil Obat"</formula>
    </cfRule>
    <cfRule type="expression" priority="9" dxfId="8">
      <formula>$F272="Tidak Ambil Obat"</formula>
    </cfRule>
  </conditionalFormatting>
  <conditionalFormatting sqref="D7:D1097">
    <cfRule type="expression" priority="10" dxfId="2">
      <formula>$E7="Cash"</formula>
    </cfRule>
    <cfRule type="expression" priority="11" dxfId="1">
      <formula>$E7="Transfer Bank"</formula>
    </cfRule>
    <cfRule type="expression" priority="12" dxfId="0">
      <formula>$F7="Tidak Ambil Obat"</formula>
    </cfRule>
  </conditionalFormatting>
  <conditionalFormatting sqref="E7:E1097">
    <cfRule type="expression" priority="13" dxfId="73">
      <formula>$E7="Cash"</formula>
    </cfRule>
    <cfRule type="expression" priority="14" dxfId="72">
      <formula>$E7="Transfer Bank"</formula>
    </cfRule>
    <cfRule type="expression" priority="15" dxfId="0">
      <formula>$F7="Tidak Ambil Obat"</formula>
    </cfRule>
  </conditionalFormatting>
  <conditionalFormatting sqref="G200:G271 G276:G291 G293:G1097">
    <cfRule type="expression" priority="16" dxfId="2">
      <formula>$H200="Cash"</formula>
    </cfRule>
    <cfRule type="expression" priority="17" dxfId="1">
      <formula>$H200="Transfer Bank"</formula>
    </cfRule>
  </conditionalFormatting>
  <conditionalFormatting sqref="G215:G271 G276:G291 G293:G1097">
    <cfRule type="expression" priority="18" dxfId="0">
      <formula>$F215="Tidak Ambil Obat"</formula>
    </cfRule>
    <cfRule type="expression" priority="19" dxfId="8">
      <formula>$F215="Tidak Ambil Obat"</formula>
    </cfRule>
  </conditionalFormatting>
  <conditionalFormatting sqref="H7:H1097">
    <cfRule type="expression" priority="20" dxfId="73">
      <formula>$H7="Cash"</formula>
    </cfRule>
    <cfRule type="expression" priority="21" dxfId="72">
      <formula>$H7="Transfer Bank"</formula>
    </cfRule>
    <cfRule type="expression" priority="22" dxfId="0">
      <formula>$F7="Tidak Ambil Obat"</formula>
    </cfRule>
    <cfRule type="expression" priority="23" dxfId="70">
      <formula>$F7="Tidak Ambil Obat"</formula>
    </cfRule>
  </conditionalFormatting>
  <conditionalFormatting sqref="A172:C286 A287:B288 C287">
    <cfRule type="expression" priority="24" dxfId="0">
      <formula>$F172="Tidak Ambil Obat"</formula>
    </cfRule>
  </conditionalFormatting>
  <conditionalFormatting sqref="F93:F1097">
    <cfRule type="expression" priority="25" dxfId="0">
      <formula>$F93="Tidak Ambil Obat"</formula>
    </cfRule>
    <cfRule type="expression" priority="26" dxfId="5">
      <formula>$F93="Ambil Obat"</formula>
    </cfRule>
    <cfRule type="expression" priority="27" dxfId="4">
      <formula>$F93="Tidak Ambil Obat"</formula>
    </cfRule>
  </conditionalFormatting>
  <conditionalFormatting sqref="G199">
    <cfRule type="expression" priority="28" dxfId="2">
      <formula>$E199="Cash"</formula>
    </cfRule>
    <cfRule type="expression" priority="29" dxfId="1">
      <formula>$E199="Transfer Bank"</formula>
    </cfRule>
  </conditionalFormatting>
  <conditionalFormatting sqref="G199:G214">
    <cfRule type="expression" priority="30" dxfId="0">
      <formula>$F199="Tidak Ambil Obat"</formula>
    </cfRule>
  </conditionalFormatting>
  <conditionalFormatting sqref="G159:G160">
    <cfRule type="expression" priority="31" dxfId="2">
      <formula>$E159="Cash"</formula>
    </cfRule>
    <cfRule type="expression" priority="32" dxfId="1">
      <formula>$E159="Transfer Bank"</formula>
    </cfRule>
    <cfRule type="expression" priority="33" dxfId="0">
      <formula>$F159="Tidak Ambil Obat"</formula>
    </cfRule>
  </conditionalFormatting>
  <conditionalFormatting sqref="G157">
    <cfRule type="expression" priority="34" dxfId="2">
      <formula>$E157="Cash"</formula>
    </cfRule>
    <cfRule type="expression" priority="35" dxfId="1">
      <formula>$E157="Transfer Bank"</formula>
    </cfRule>
    <cfRule type="expression" priority="36" dxfId="0">
      <formula>$F157="Tidak Ambil Obat"</formula>
    </cfRule>
  </conditionalFormatting>
  <conditionalFormatting sqref="G149">
    <cfRule type="expression" priority="37" dxfId="2">
      <formula>$E149="Cash"</formula>
    </cfRule>
    <cfRule type="expression" priority="38" dxfId="1">
      <formula>$E149="Transfer Bank"</formula>
    </cfRule>
    <cfRule type="expression" priority="39" dxfId="0">
      <formula>$F149="Tidak Ambil Obat"</formula>
    </cfRule>
  </conditionalFormatting>
  <conditionalFormatting sqref="G107 G110 G113 G116 I107 I113 I116">
    <cfRule type="expression" priority="40" dxfId="2">
      <formula>$E107="Cash"</formula>
    </cfRule>
    <cfRule type="expression" priority="41" dxfId="1">
      <formula>$E107="Transfer Bank"</formula>
    </cfRule>
  </conditionalFormatting>
  <conditionalFormatting sqref="G107 G110 G113 G116 I107:I109 I111:I116">
    <cfRule type="expression" priority="42" dxfId="0">
      <formula>$F107="Tidak Ambil Obat"</formula>
    </cfRule>
  </conditionalFormatting>
  <conditionalFormatting sqref="G101 G104 I101 I104">
    <cfRule type="expression" priority="43" dxfId="2">
      <formula>$E101="Cash"</formula>
    </cfRule>
    <cfRule type="expression" priority="44" dxfId="1">
      <formula>$E101="Transfer Bank"</formula>
    </cfRule>
  </conditionalFormatting>
  <conditionalFormatting sqref="G101 G104 I101:I106">
    <cfRule type="expression" priority="45" dxfId="0">
      <formula>$F101="Tidak Ambil Obat"</formula>
    </cfRule>
  </conditionalFormatting>
  <conditionalFormatting sqref="F92:G92 G86 G89 G95 G98 I86 I89 I92 I95 I98">
    <cfRule type="expression" priority="46" dxfId="2">
      <formula>$E86="Cash"</formula>
    </cfRule>
    <cfRule type="expression" priority="47" dxfId="1">
      <formula>$E86="Transfer Bank"</formula>
    </cfRule>
  </conditionalFormatting>
  <conditionalFormatting sqref="F92:G92 G86 G89 G95 G98 I86:I100">
    <cfRule type="expression" priority="48" dxfId="0">
      <formula>$F86="Tidak Ambil Obat"</formula>
    </cfRule>
  </conditionalFormatting>
  <conditionalFormatting sqref="G80 G83 I80 I83">
    <cfRule type="expression" priority="49" dxfId="2">
      <formula>$E80="Cash"</formula>
    </cfRule>
    <cfRule type="expression" priority="50" dxfId="1">
      <formula>$E80="Transfer Bank"</formula>
    </cfRule>
  </conditionalFormatting>
  <conditionalFormatting sqref="G80 G83 I80:I85">
    <cfRule type="expression" priority="51" dxfId="0">
      <formula>$F80="Tidak Ambil Obat"</formula>
    </cfRule>
  </conditionalFormatting>
  <conditionalFormatting sqref="G74 G77 I74 I77">
    <cfRule type="expression" priority="52" dxfId="2">
      <formula>$E74="Cash"</formula>
    </cfRule>
    <cfRule type="expression" priority="53" dxfId="1">
      <formula>$E74="Transfer Bank"</formula>
    </cfRule>
  </conditionalFormatting>
  <conditionalFormatting sqref="G74 G77 I74:I79">
    <cfRule type="expression" priority="54" dxfId="0">
      <formula>$F74="Tidak Ambil Obat"</formula>
    </cfRule>
  </conditionalFormatting>
  <conditionalFormatting sqref="G68 G71 I68 I71">
    <cfRule type="expression" priority="55" dxfId="2">
      <formula>$E68="Cash"</formula>
    </cfRule>
    <cfRule type="expression" priority="56" dxfId="1">
      <formula>$E68="Transfer Bank"</formula>
    </cfRule>
  </conditionalFormatting>
  <conditionalFormatting sqref="G68 G71 I68:I73">
    <cfRule type="expression" priority="57" dxfId="0">
      <formula>$F68="Tidak Ambil Obat"</formula>
    </cfRule>
  </conditionalFormatting>
  <conditionalFormatting sqref="G65 I65">
    <cfRule type="expression" priority="58" dxfId="2">
      <formula>$E65="Cash"</formula>
    </cfRule>
    <cfRule type="expression" priority="59" dxfId="1">
      <formula>$E65="Transfer Bank"</formula>
    </cfRule>
  </conditionalFormatting>
  <conditionalFormatting sqref="G65 I65:I67">
    <cfRule type="expression" priority="60" dxfId="0">
      <formula>$F65="Tidak Ambil Obat"</formula>
    </cfRule>
  </conditionalFormatting>
  <conditionalFormatting sqref="G62 I62">
    <cfRule type="expression" priority="61" dxfId="2">
      <formula>$E62="Cash"</formula>
    </cfRule>
    <cfRule type="expression" priority="62" dxfId="1">
      <formula>$E62="Transfer Bank"</formula>
    </cfRule>
  </conditionalFormatting>
  <conditionalFormatting sqref="G62 I62:I64">
    <cfRule type="expression" priority="63" dxfId="0">
      <formula>$F62="Tidak Ambil Obat"</formula>
    </cfRule>
  </conditionalFormatting>
  <conditionalFormatting sqref="G59 I59">
    <cfRule type="expression" priority="64" dxfId="2">
      <formula>$E59="Cash"</formula>
    </cfRule>
    <cfRule type="expression" priority="65" dxfId="1">
      <formula>$E59="Transfer Bank"</formula>
    </cfRule>
  </conditionalFormatting>
  <conditionalFormatting sqref="G59 I59:I61">
    <cfRule type="expression" priority="66" dxfId="0">
      <formula>$F59="Tidak Ambil Obat"</formula>
    </cfRule>
  </conditionalFormatting>
  <conditionalFormatting sqref="G56 I56">
    <cfRule type="expression" priority="67" dxfId="2">
      <formula>$E56="Cash"</formula>
    </cfRule>
    <cfRule type="expression" priority="68" dxfId="1">
      <formula>$E56="Transfer Bank"</formula>
    </cfRule>
  </conditionalFormatting>
  <conditionalFormatting sqref="G56 I56:I58">
    <cfRule type="expression" priority="69" dxfId="0">
      <formula>$F56="Tidak Ambil Obat"</formula>
    </cfRule>
  </conditionalFormatting>
  <conditionalFormatting sqref="I53">
    <cfRule type="expression" priority="70" dxfId="2">
      <formula>$E53="Cash"</formula>
    </cfRule>
    <cfRule type="expression" priority="71" dxfId="1">
      <formula>$E53="Transfer Bank"</formula>
    </cfRule>
  </conditionalFormatting>
  <conditionalFormatting sqref="I7:I55">
    <cfRule type="expression" priority="72" dxfId="0">
      <formula>$F7="Tidak Ambil Obat"</formula>
    </cfRule>
  </conditionalFormatting>
  <conditionalFormatting sqref="G53">
    <cfRule type="expression" priority="73" dxfId="2">
      <formula>$E53="Cash"</formula>
    </cfRule>
    <cfRule type="expression" priority="74" dxfId="1">
      <formula>$E53="Transfer Bank"</formula>
    </cfRule>
    <cfRule type="expression" priority="75" dxfId="0">
      <formula>$F53="Tidak Ambil Obat"</formula>
    </cfRule>
  </conditionalFormatting>
  <conditionalFormatting sqref="G44">
    <cfRule type="expression" priority="76" dxfId="2">
      <formula>$E44="Cash"</formula>
    </cfRule>
    <cfRule type="expression" priority="77" dxfId="1">
      <formula>$E44="Transfer Bank"</formula>
    </cfRule>
    <cfRule type="expression" priority="78" dxfId="0">
      <formula>$F44="Tidak Ambil Obat"</formula>
    </cfRule>
  </conditionalFormatting>
  <conditionalFormatting sqref="G10">
    <cfRule type="expression" priority="79" dxfId="2">
      <formula>$E10="Cash"</formula>
    </cfRule>
    <cfRule type="expression" priority="80" dxfId="1">
      <formula>$E10="Transfer Bank"</formula>
    </cfRule>
    <cfRule type="expression" priority="81" dxfId="0">
      <formula>$F10="Tidak Ambil Obat"</formula>
    </cfRule>
  </conditionalFormatting>
  <conditionalFormatting sqref="G7:G9 G11:G43 G45:G52 G54:G55 G57:G58 G60:G61 G63:G64 G66:G67 G69:G70 G72:G73 G75:G76 G78:G79 G81:G82 G84:G85 G87:G88 G90:G91 G93:G94 G96:G97 G99:G100 G102:G103 G105:G106 G108:G109 G111:G112 G114:G115 G117:G148 G150:G156 G158 G161:G198">
    <cfRule type="expression" priority="82" dxfId="2">
      <formula>$H7="Cash"</formula>
    </cfRule>
    <cfRule type="expression" priority="83" dxfId="1">
      <formula>$H7="Transfer Bank"</formula>
    </cfRule>
    <cfRule type="expression" priority="84" dxfId="0">
      <formula>$F7="Tidak Ambil Obat"</formula>
    </cfRule>
  </conditionalFormatting>
  <conditionalFormatting sqref="G7:G9 G11:G43 G45:G52 G54:G55 G57:G58 G60:G61 G63:G64 G66:G67 G69:G70 G72:G73 G75:G76 G78:G79 G81:G82 G84:G85 G87:G88 G90:G91 G93:G94 G96:G97 G99:G100 G102:G103 G105:G106 G108:G109 G111:G112 G114:G115 G117:G148 G150:G156 G158 G161:G198 G200:G214">
    <cfRule type="expression" priority="85" dxfId="8">
      <formula>$F7="Tidak Ambil Obat"</formula>
    </cfRule>
  </conditionalFormatting>
  <conditionalFormatting sqref="A7:C167 A168:B171">
    <cfRule type="expression" priority="86" dxfId="0">
      <formula>$F7="Tidak Ambil Obat"</formula>
    </cfRule>
  </conditionalFormatting>
  <conditionalFormatting sqref="F7:F91">
    <cfRule type="expression" priority="87" dxfId="0">
      <formula>$F7="Tidak Ambil Obat"</formula>
    </cfRule>
    <cfRule type="expression" priority="88" dxfId="5">
      <formula>$F7="Ambil Obat"</formula>
    </cfRule>
    <cfRule type="expression" priority="89" dxfId="4">
      <formula>$F7="Tidak Ambil Obat"</formula>
    </cfRule>
  </conditionalFormatting>
  <conditionalFormatting sqref="C169:C171 C288">
    <cfRule type="expression" priority="90" dxfId="0">
      <formula>$F168="Tidak Ambil Obat"</formula>
    </cfRule>
  </conditionalFormatting>
  <conditionalFormatting sqref="G292">
    <cfRule type="expression" priority="1" dxfId="2">
      <formula>$E292="Cash"</formula>
    </cfRule>
    <cfRule type="expression" priority="2" dxfId="1">
      <formula>$E292="Transfer Bank"</formula>
    </cfRule>
    <cfRule type="expression" priority="3" dxfId="0">
      <formula>$F292="Tidak Ambil Obat"</formula>
    </cfRule>
  </conditionalFormatting>
  <dataValidations count="3">
    <dataValidation sqref="F7:F91 F93:F1097" showDropDown="0" showInputMessage="1" showErrorMessage="1" allowBlank="1" errorTitle="Wajib Dipilih" error="Pilih &quot;Ambil Obat&quot; atau &quot;Tidak Ambil Obat&quot;." promptTitle="Status Obat" prompt="&quot;Ambil Obat&quot; → biaya obat dihitung_x000a_&quot;Tidak Ambil Obat&quot; → baris merah, obat tidak masuk total" type="list">
      <formula1>"Ambil Obat,Tidak Ambil Obat"</formula1>
      <formula2>0</formula2>
    </dataValidation>
    <dataValidation sqref="J6 J19 J28 J41 J49 J52 J55 J58 J61 J64 J67 J70 J73 J76 J79 J82 J85 J88 J91 J94 J97 J100 J103 J106 J109 J112 J115 J118 J124 J129 J132 J135 J147 J152 J164 J183 J197 J214 J231 J245 J256 J271 J277 J291 J300 J317 J334 J351 J368 J385 J402 J419 J436 J453 J470 J487 J504 J521 J538 J555 J572 J589 J606 J623 J640 J657 J674 J691 J708 J725 J742 J759 J776 J793 J810 J827 J844 J861 J878 J895 J912 J929 J946 J963 J980 J997 J1014 J1031 J1048 J1065 J1082" showDropDown="0" showInputMessage="0" showErrorMessage="0" allowBlank="0" type="list">
      <formula1>"dr. ARIF,dr. HAWA"</formula1>
      <formula2>0</formula2>
    </dataValidation>
    <dataValidation sqref="E7:E1097 H7:H1097" showDropDown="0" showInputMessage="1" showErrorMessage="1" allowBlank="1" errorTitle="Tidak Valid" error="Pilih &quot;Cash&quot; atau &quot;Transfer Bank&quot;." promptTitle="Jenis Pembayaran" prompt="Cash → warna kuning_x000a_Transfer Bank → warna biru" type="list">
      <formula1>"Cash,Transfer Bank"</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67"/>
  <sheetViews>
    <sheetView zoomScaleNormal="100" workbookViewId="0">
      <pane xSplit="3" ySplit="3" topLeftCell="D4" activePane="bottomRight" state="frozen"/>
      <selection pane="topRight" activeCell="D1" sqref="D1"/>
      <selection pane="bottomLeft" activeCell="A4" sqref="A4"/>
      <selection pane="bottomRight" activeCell="G22" sqref="G22"/>
    </sheetView>
  </sheetViews>
  <sheetFormatPr baseColWidth="8" defaultColWidth="8.7109375" defaultRowHeight="15"/>
  <cols>
    <col width="5" customWidth="1" style="314" min="1" max="1"/>
    <col width="14" customWidth="1" style="56" min="2" max="2"/>
    <col width="14" customWidth="1" style="314" min="3" max="4"/>
    <col width="7" customWidth="1" style="314" min="5" max="9"/>
    <col width="9.7109375" customWidth="1" style="57" min="10" max="10"/>
    <col width="13.7109375" customWidth="1" style="57" min="11" max="11"/>
    <col width="11" customWidth="1" style="57" min="12" max="14"/>
    <col width="13" customWidth="1" style="57" min="15" max="16"/>
    <col width="18" customWidth="1" style="57" min="17" max="17"/>
    <col width="13" customWidth="1" style="57" min="18" max="18"/>
  </cols>
  <sheetData>
    <row r="1" ht="25.5" customHeight="1" s="314">
      <c r="A1" s="257" t="inlineStr">
        <is>
          <t>INPUT HARIAN – FEE DOKTER (OTOMATIS dari Data Pasien)</t>
        </is>
      </c>
    </row>
    <row r="2" ht="36" customHeight="1" s="314">
      <c r="A2" s="258" t="inlineStr">
        <is>
          <t>⚡ Isi kolom 🟡 KUNING saja: Tanggal (B) &amp; Nama Dokter (C) → kolom lain otomatis terhitung dari Data Pasien</t>
        </is>
      </c>
    </row>
    <row r="3" ht="31.5" customHeight="1" s="314">
      <c r="A3" s="58" t="inlineStr">
        <is>
          <t>No.</t>
        </is>
      </c>
      <c r="B3" s="58" t="inlineStr">
        <is>
          <t>Tanggal</t>
        </is>
      </c>
      <c r="C3" s="58" t="inlineStr">
        <is>
          <t>Nama Dokter
▼</t>
        </is>
      </c>
      <c r="D3" s="58" t="inlineStr">
        <is>
          <t>Ps.
100rb</t>
        </is>
      </c>
      <c r="E3" s="58" t="inlineStr">
        <is>
          <t>Ps.
150rb</t>
        </is>
      </c>
      <c r="F3" s="58" t="inlineStr">
        <is>
          <t>Ps.
200rb</t>
        </is>
      </c>
      <c r="G3" s="58" t="inlineStr">
        <is>
          <t>Ps.
250rb</t>
        </is>
      </c>
      <c r="H3" s="58" t="inlineStr">
        <is>
          <t>Ps.
300rb</t>
        </is>
      </c>
      <c r="I3" s="58" t="inlineStr">
        <is>
          <t>Total
Pasien</t>
        </is>
      </c>
      <c r="J3" s="59" t="inlineStr">
        <is>
          <t>Total
100rb</t>
        </is>
      </c>
      <c r="K3" s="59" t="inlineStr">
        <is>
          <t>Total
150rb</t>
        </is>
      </c>
      <c r="L3" s="59" t="inlineStr">
        <is>
          <t>Total
200rb</t>
        </is>
      </c>
      <c r="M3" s="59" t="inlineStr">
        <is>
          <t>Total
250rb</t>
        </is>
      </c>
      <c r="N3" s="59" t="inlineStr">
        <is>
          <t>Total
300rb</t>
        </is>
      </c>
      <c r="O3" s="59" t="inlineStr">
        <is>
          <t>Total
Penarikan</t>
        </is>
      </c>
      <c r="P3" s="59" t="inlineStr">
        <is>
          <t>Fee
Dokter</t>
        </is>
      </c>
      <c r="Q3" s="59" t="inlineStr">
        <is>
          <t>Keterangan</t>
        </is>
      </c>
      <c r="R3" s="59" t="inlineStr">
        <is>
          <t>Fee
Klinik</t>
        </is>
      </c>
    </row>
    <row r="4" ht="15" customHeight="1" s="314">
      <c r="A4" s="60">
        <f>IF(C4&lt;&gt;"",1,"")</f>
        <v/>
      </c>
      <c r="B4" s="61" t="n"/>
      <c r="C4" s="62" t="n"/>
      <c r="D4" s="63">
        <f>IF(OR(B4="",C4=""),"",COUNTIFS('📋 Data Pasien'!$B:$B,B4,'📋 Data Pasien'!$J:$J,C4,'📋 Data Pasien'!$D:$D,100000))</f>
        <v/>
      </c>
      <c r="E4" s="63">
        <f>IF(OR(B4="",C4=""),"",COUNTIFS('📋 Data Pasien'!$B:$B,B4,'📋 Data Pasien'!$J:$J,C4,'📋 Data Pasien'!$D:$D,150000))</f>
        <v/>
      </c>
      <c r="F4" s="63">
        <f>IF(OR(B4="",C4=""),"",COUNTIFS('📋 Data Pasien'!$B:$B,B4,'📋 Data Pasien'!$J:$J,C4,'📋 Data Pasien'!$D:$D,200000))</f>
        <v/>
      </c>
      <c r="G4" s="63">
        <f>IF(OR(B4="",C4=""),"",COUNTIFS('📋 Data Pasien'!$B:$B,B4,'📋 Data Pasien'!$J:$J,C4,'📋 Data Pasien'!$D:$D,250000))</f>
        <v/>
      </c>
      <c r="H4" s="63">
        <f>IF(OR(B4="",C4=""),"",COUNTIFS('📋 Data Pasien'!$B:$B,B4,'📋 Data Pasien'!$J:$J,C4,'📋 Data Pasien'!$D:$D,300000))</f>
        <v/>
      </c>
      <c r="I4" s="64">
        <f>IF(C4="","",SUM(D4:H4))</f>
        <v/>
      </c>
      <c r="J4" s="65">
        <f>IF(C4="","",D4*100000)</f>
        <v/>
      </c>
      <c r="K4" s="65">
        <f>IF(C4="","",E4*150000)</f>
        <v/>
      </c>
      <c r="L4" s="65">
        <f>IF(C4="","",F4*200000)</f>
        <v/>
      </c>
      <c r="M4" s="65">
        <f>IF(C4="","",G4*250000)</f>
        <v/>
      </c>
      <c r="N4" s="65">
        <f>IF(C4="","",H4*300000)</f>
        <v/>
      </c>
      <c r="O4" s="66">
        <f>IF(C4="","",SUM(J4:N4))</f>
        <v/>
      </c>
      <c r="P4" s="67">
        <f>IF(C4="","",D4*70000+E4*105000+F4*130000+G4*155000+H4*180000)</f>
        <v/>
      </c>
      <c r="Q4" s="68" t="n"/>
      <c r="R4" s="69">
        <f>IF(C4="","",D4*30000+E4*45000+F4*70000+G4*95000+H4*120000)</f>
        <v/>
      </c>
    </row>
    <row r="5" ht="15" customHeight="1" s="314">
      <c r="A5" s="70">
        <f>IF(C5&lt;&gt;"",2,"")</f>
        <v/>
      </c>
      <c r="B5" s="61" t="n"/>
      <c r="C5" s="62" t="n"/>
      <c r="D5" s="71">
        <f>IF(OR(B5="",C5=""),"",COUNTIFS('📋 Data Pasien'!$B:$B,B5,'📋 Data Pasien'!$J:$J,C5,'📋 Data Pasien'!$D:$D,100000))</f>
        <v/>
      </c>
      <c r="E5" s="71">
        <f>IF(OR(B5="",C5=""),"",COUNTIFS('📋 Data Pasien'!$B:$B,B5,'📋 Data Pasien'!$J:$J,C5,'📋 Data Pasien'!$D:$D,150000))</f>
        <v/>
      </c>
      <c r="F5" s="71">
        <f>IF(OR(B5="",C5=""),"",COUNTIFS('📋 Data Pasien'!$B:$B,B5,'📋 Data Pasien'!$J:$J,C5,'📋 Data Pasien'!$D:$D,200000))</f>
        <v/>
      </c>
      <c r="G5" s="71">
        <f>IF(OR(B5="",C5=""),"",COUNTIFS('📋 Data Pasien'!$B:$B,B5,'📋 Data Pasien'!$J:$J,C5,'📋 Data Pasien'!$D:$D,250000))</f>
        <v/>
      </c>
      <c r="H5" s="71">
        <f>IF(OR(B5="",C5=""),"",COUNTIFS('📋 Data Pasien'!$B:$B,B5,'📋 Data Pasien'!$J:$J,C5,'📋 Data Pasien'!$D:$D,300000))</f>
        <v/>
      </c>
      <c r="I5" s="64">
        <f>IF(C5="","",SUM(D5:H5))</f>
        <v/>
      </c>
      <c r="J5" s="72">
        <f>IF(C5="","",D5*100000)</f>
        <v/>
      </c>
      <c r="K5" s="72">
        <f>IF(C5="","",E5*150000)</f>
        <v/>
      </c>
      <c r="L5" s="72">
        <f>IF(C5="","",F5*200000)</f>
        <v/>
      </c>
      <c r="M5" s="72">
        <f>IF(C5="","",G5*250000)</f>
        <v/>
      </c>
      <c r="N5" s="72">
        <f>IF(C5="","",H5*300000)</f>
        <v/>
      </c>
      <c r="O5" s="66">
        <f>IF(C5="","",SUM(J5:N5))</f>
        <v/>
      </c>
      <c r="P5" s="67">
        <f>IF(C5="","",D5*70000+E5*105000+F5*130000+G5*155000+H5*180000)</f>
        <v/>
      </c>
      <c r="Q5" s="68" t="n"/>
      <c r="R5" s="69">
        <f>IF(C5="","",D5*30000+E5*45000+F5*70000+G5*95000+H5*120000)</f>
        <v/>
      </c>
    </row>
    <row r="6" ht="15" customHeight="1" s="314">
      <c r="A6" s="60">
        <f>IF(C6&lt;&gt;"",3,"")</f>
        <v/>
      </c>
      <c r="B6" s="61" t="n"/>
      <c r="C6" s="62" t="n"/>
      <c r="D6" s="63">
        <f>IF(OR(B6="",C6=""),"",COUNTIFS('📋 Data Pasien'!$B:$B,B6,'📋 Data Pasien'!$J:$J,C6,'📋 Data Pasien'!$D:$D,100000))</f>
        <v/>
      </c>
      <c r="E6" s="63">
        <f>IF(OR(B6="",C6=""),"",COUNTIFS('📋 Data Pasien'!$B:$B,B6,'📋 Data Pasien'!$J:$J,C6,'📋 Data Pasien'!$D:$D,150000))</f>
        <v/>
      </c>
      <c r="F6" s="63">
        <f>IF(OR(B6="",C6=""),"",COUNTIFS('📋 Data Pasien'!$B:$B,B6,'📋 Data Pasien'!$J:$J,C6,'📋 Data Pasien'!$D:$D,200000))</f>
        <v/>
      </c>
      <c r="G6" s="63">
        <f>IF(OR(B6="",C6=""),"",COUNTIFS('📋 Data Pasien'!$B:$B,B6,'📋 Data Pasien'!$J:$J,C6,'📋 Data Pasien'!$D:$D,250000))</f>
        <v/>
      </c>
      <c r="H6" s="63">
        <f>IF(OR(B6="",C6=""),"",COUNTIFS('📋 Data Pasien'!$B:$B,B6,'📋 Data Pasien'!$J:$J,C6,'📋 Data Pasien'!$D:$D,300000))</f>
        <v/>
      </c>
      <c r="I6" s="64">
        <f>IF(C6="","",SUM(D6:H6))</f>
        <v/>
      </c>
      <c r="J6" s="65">
        <f>IF(C6="","",D6*100000)</f>
        <v/>
      </c>
      <c r="K6" s="65">
        <f>IF(C6="","",E6*150000)</f>
        <v/>
      </c>
      <c r="L6" s="65">
        <f>IF(C6="","",F6*200000)</f>
        <v/>
      </c>
      <c r="M6" s="65">
        <f>IF(C6="","",G6*250000)</f>
        <v/>
      </c>
      <c r="N6" s="65">
        <f>IF(C6="","",H6*300000)</f>
        <v/>
      </c>
      <c r="O6" s="66">
        <f>IF(C6="","",SUM(J6:N6))</f>
        <v/>
      </c>
      <c r="P6" s="67">
        <f>IF(C6="","",D6*70000+E6*105000+F6*130000+G6*155000+H6*180000)</f>
        <v/>
      </c>
      <c r="Q6" s="68" t="n"/>
      <c r="R6" s="69">
        <f>IF(C6="","",D6*30000+E6*45000+F6*70000+G6*95000+H6*120000)</f>
        <v/>
      </c>
    </row>
    <row r="7" ht="15" customHeight="1" s="314">
      <c r="A7" s="70">
        <f>IF(C7&lt;&gt;"",4,"")</f>
        <v/>
      </c>
      <c r="B7" s="61" t="n"/>
      <c r="C7" s="62" t="n"/>
      <c r="D7" s="71">
        <f>IF(OR(B7="",C7=""),"",COUNTIFS('📋 Data Pasien'!$B:$B,B7,'📋 Data Pasien'!$J:$J,C7,'📋 Data Pasien'!$D:$D,100000))</f>
        <v/>
      </c>
      <c r="E7" s="71">
        <f>IF(OR(B7="",C7=""),"",COUNTIFS('📋 Data Pasien'!$B:$B,B7,'📋 Data Pasien'!$J:$J,C7,'📋 Data Pasien'!$D:$D,150000))</f>
        <v/>
      </c>
      <c r="F7" s="71">
        <f>IF(OR(B7="",C7=""),"",COUNTIFS('📋 Data Pasien'!$B:$B,B7,'📋 Data Pasien'!$J:$J,C7,'📋 Data Pasien'!$D:$D,200000))</f>
        <v/>
      </c>
      <c r="G7" s="71">
        <f>IF(OR(B7="",C7=""),"",COUNTIFS('📋 Data Pasien'!$B:$B,B7,'📋 Data Pasien'!$J:$J,C7,'📋 Data Pasien'!$D:$D,250000))</f>
        <v/>
      </c>
      <c r="H7" s="71">
        <f>IF(OR(B7="",C7=""),"",COUNTIFS('📋 Data Pasien'!$B:$B,B7,'📋 Data Pasien'!$J:$J,C7,'📋 Data Pasien'!$D:$D,300000))</f>
        <v/>
      </c>
      <c r="I7" s="64">
        <f>IF(C7="","",SUM(D7:H7))</f>
        <v/>
      </c>
      <c r="J7" s="72">
        <f>IF(C7="","",D7*100000)</f>
        <v/>
      </c>
      <c r="K7" s="72">
        <f>IF(C7="","",E7*150000)</f>
        <v/>
      </c>
      <c r="L7" s="72">
        <f>IF(C7="","",F7*200000)</f>
        <v/>
      </c>
      <c r="M7" s="72">
        <f>IF(C7="","",G7*250000)</f>
        <v/>
      </c>
      <c r="N7" s="72">
        <f>IF(C7="","",H7*300000)</f>
        <v/>
      </c>
      <c r="O7" s="66">
        <f>IF(C7="","",SUM(J7:N7))</f>
        <v/>
      </c>
      <c r="P7" s="67">
        <f>IF(C7="","",D7*70000+E7*105000+F7*130000+G7*155000+H7*180000)</f>
        <v/>
      </c>
      <c r="Q7" s="68" t="n"/>
      <c r="R7" s="69">
        <f>IF(C7="","",D7*30000+E7*45000+F7*70000+G7*95000+H7*120000)</f>
        <v/>
      </c>
    </row>
    <row r="8" ht="15" customHeight="1" s="314">
      <c r="A8" s="60">
        <f>IF(C8&lt;&gt;"",5,"")</f>
        <v/>
      </c>
      <c r="B8" s="61" t="n"/>
      <c r="C8" s="62" t="n"/>
      <c r="D8" s="63">
        <f>IF(OR(B8="",C8=""),"",COUNTIFS('📋 Data Pasien'!$B:$B,B8,'📋 Data Pasien'!$J:$J,C8,'📋 Data Pasien'!$D:$D,100000))</f>
        <v/>
      </c>
      <c r="E8" s="63">
        <f>IF(OR(B8="",C8=""),"",COUNTIFS('📋 Data Pasien'!$B:$B,B8,'📋 Data Pasien'!$J:$J,C8,'📋 Data Pasien'!$D:$D,150000))</f>
        <v/>
      </c>
      <c r="F8" s="63">
        <f>IF(OR(B8="",C8=""),"",COUNTIFS('📋 Data Pasien'!$B:$B,B8,'📋 Data Pasien'!$J:$J,C8,'📋 Data Pasien'!$D:$D,200000))</f>
        <v/>
      </c>
      <c r="G8" s="63">
        <f>IF(OR(B8="",C8=""),"",COUNTIFS('📋 Data Pasien'!$B:$B,B8,'📋 Data Pasien'!$J:$J,C8,'📋 Data Pasien'!$D:$D,250000))</f>
        <v/>
      </c>
      <c r="H8" s="63">
        <f>IF(OR(B8="",C8=""),"",COUNTIFS('📋 Data Pasien'!$B:$B,B8,'📋 Data Pasien'!$J:$J,C8,'📋 Data Pasien'!$D:$D,300000))</f>
        <v/>
      </c>
      <c r="I8" s="64">
        <f>IF(C8="","",SUM(D8:H8))</f>
        <v/>
      </c>
      <c r="J8" s="65">
        <f>IF(C8="","",D8*100000)</f>
        <v/>
      </c>
      <c r="K8" s="65">
        <f>IF(C8="","",E8*150000)</f>
        <v/>
      </c>
      <c r="L8" s="65">
        <f>IF(C8="","",F8*200000)</f>
        <v/>
      </c>
      <c r="M8" s="65">
        <f>IF(C8="","",G8*250000)</f>
        <v/>
      </c>
      <c r="N8" s="65">
        <f>IF(C8="","",H8*300000)</f>
        <v/>
      </c>
      <c r="O8" s="66">
        <f>IF(C8="","",SUM(J8:N8))</f>
        <v/>
      </c>
      <c r="P8" s="67">
        <f>IF(C8="","",D8*70000+E8*105000+F8*130000+G8*155000+H8*180000)</f>
        <v/>
      </c>
      <c r="Q8" s="68" t="n"/>
      <c r="R8" s="69">
        <f>IF(C8="","",D8*30000+E8*45000+F8*70000+G8*95000+H8*120000)</f>
        <v/>
      </c>
    </row>
    <row r="9" ht="15" customHeight="1" s="314">
      <c r="A9" s="70">
        <f>IF(C9&lt;&gt;"",6,"")</f>
        <v/>
      </c>
      <c r="B9" s="61" t="n"/>
      <c r="C9" s="62" t="n"/>
      <c r="D9" s="71">
        <f>IF(OR(B9="",C9=""),"",COUNTIFS('📋 Data Pasien'!$B:$B,B9,'📋 Data Pasien'!$J:$J,C9,'📋 Data Pasien'!$D:$D,100000))</f>
        <v/>
      </c>
      <c r="E9" s="71">
        <f>IF(OR(B9="",C9=""),"",COUNTIFS('📋 Data Pasien'!$B:$B,B9,'📋 Data Pasien'!$J:$J,C9,'📋 Data Pasien'!$D:$D,150000))</f>
        <v/>
      </c>
      <c r="F9" s="71">
        <f>IF(OR(B9="",C9=""),"",COUNTIFS('📋 Data Pasien'!$B:$B,B9,'📋 Data Pasien'!$J:$J,C9,'📋 Data Pasien'!$D:$D,200000))</f>
        <v/>
      </c>
      <c r="G9" s="71">
        <f>IF(OR(B9="",C9=""),"",COUNTIFS('📋 Data Pasien'!$B:$B,B9,'📋 Data Pasien'!$J:$J,C9,'📋 Data Pasien'!$D:$D,250000))</f>
        <v/>
      </c>
      <c r="H9" s="71">
        <f>IF(OR(B9="",C9=""),"",COUNTIFS('📋 Data Pasien'!$B:$B,B9,'📋 Data Pasien'!$J:$J,C9,'📋 Data Pasien'!$D:$D,300000))</f>
        <v/>
      </c>
      <c r="I9" s="64">
        <f>IF(C9="","",SUM(D9:H9))</f>
        <v/>
      </c>
      <c r="J9" s="72">
        <f>IF(C9="","",D9*100000)</f>
        <v/>
      </c>
      <c r="K9" s="72">
        <f>IF(C9="","",E9*150000)</f>
        <v/>
      </c>
      <c r="L9" s="72">
        <f>IF(C9="","",F9*200000)</f>
        <v/>
      </c>
      <c r="M9" s="72">
        <f>IF(C9="","",G9*250000)</f>
        <v/>
      </c>
      <c r="N9" s="72">
        <f>IF(C9="","",H9*300000)</f>
        <v/>
      </c>
      <c r="O9" s="66">
        <f>IF(C9="","",SUM(J9:N9))</f>
        <v/>
      </c>
      <c r="P9" s="67">
        <f>IF(C9="","",D9*70000+E9*105000+F9*130000+G9*155000+H9*180000)</f>
        <v/>
      </c>
      <c r="Q9" s="68" t="n"/>
      <c r="R9" s="69">
        <f>IF(C9="","",D9*30000+E9*45000+F9*70000+G9*95000+H9*120000)</f>
        <v/>
      </c>
    </row>
    <row r="10" ht="15" customHeight="1" s="314">
      <c r="A10" s="60">
        <f>IF(C10&lt;&gt;"",7,"")</f>
        <v/>
      </c>
      <c r="B10" s="61" t="n"/>
      <c r="C10" s="62" t="n"/>
      <c r="D10" s="63">
        <f>IF(OR(B10="",C10=""),"",COUNTIFS('📋 Data Pasien'!$B:$B,B10,'📋 Data Pasien'!$J:$J,C10,'📋 Data Pasien'!$D:$D,100000))</f>
        <v/>
      </c>
      <c r="E10" s="63">
        <f>IF(OR(B10="",C10=""),"",COUNTIFS('📋 Data Pasien'!$B:$B,B10,'📋 Data Pasien'!$J:$J,C10,'📋 Data Pasien'!$D:$D,150000))</f>
        <v/>
      </c>
      <c r="F10" s="63">
        <f>IF(OR(B10="",C10=""),"",COUNTIFS('📋 Data Pasien'!$B:$B,B10,'📋 Data Pasien'!$J:$J,C10,'📋 Data Pasien'!$D:$D,200000))</f>
        <v/>
      </c>
      <c r="G10" s="63">
        <f>IF(OR(B10="",C10=""),"",COUNTIFS('📋 Data Pasien'!$B:$B,B10,'📋 Data Pasien'!$J:$J,C10,'📋 Data Pasien'!$D:$D,250000))</f>
        <v/>
      </c>
      <c r="H10" s="63">
        <f>IF(OR(B10="",C10=""),"",COUNTIFS('📋 Data Pasien'!$B:$B,B10,'📋 Data Pasien'!$J:$J,C10,'📋 Data Pasien'!$D:$D,300000))</f>
        <v/>
      </c>
      <c r="I10" s="64">
        <f>IF(C10="","",SUM(D10:H10))</f>
        <v/>
      </c>
      <c r="J10" s="65">
        <f>IF(C10="","",D10*100000)</f>
        <v/>
      </c>
      <c r="K10" s="65">
        <f>IF(C10="","",E10*150000)</f>
        <v/>
      </c>
      <c r="L10" s="65">
        <f>IF(C10="","",F10*200000)</f>
        <v/>
      </c>
      <c r="M10" s="65">
        <f>IF(C10="","",G10*250000)</f>
        <v/>
      </c>
      <c r="N10" s="65">
        <f>IF(C10="","",H10*300000)</f>
        <v/>
      </c>
      <c r="O10" s="66">
        <f>IF(C10="","",SUM(J10:N10))</f>
        <v/>
      </c>
      <c r="P10" s="67">
        <f>IF(C10="","",D10*70000+E10*105000+F10*130000+G10*155000+H10*180000)</f>
        <v/>
      </c>
      <c r="Q10" s="68" t="n"/>
      <c r="R10" s="69">
        <f>IF(C10="","",D10*30000+E10*45000+F10*70000+G10*95000+H10*120000)</f>
        <v/>
      </c>
    </row>
    <row r="11" ht="15" customHeight="1" s="314">
      <c r="A11" s="70">
        <f>IF(C11&lt;&gt;"",8,"")</f>
        <v/>
      </c>
      <c r="B11" s="61" t="n"/>
      <c r="C11" s="62" t="n"/>
      <c r="D11" s="71">
        <f>IF(OR(B11="",C11=""),"",COUNTIFS('📋 Data Pasien'!$B:$B,B11,'📋 Data Pasien'!$J:$J,C11,'📋 Data Pasien'!$D:$D,100000))</f>
        <v/>
      </c>
      <c r="E11" s="71">
        <f>IF(OR(B11="",C11=""),"",COUNTIFS('📋 Data Pasien'!$B:$B,B11,'📋 Data Pasien'!$J:$J,C11,'📋 Data Pasien'!$D:$D,150000))</f>
        <v/>
      </c>
      <c r="F11" s="71">
        <f>IF(OR(B11="",C11=""),"",COUNTIFS('📋 Data Pasien'!$B:$B,B11,'📋 Data Pasien'!$J:$J,C11,'📋 Data Pasien'!$D:$D,200000))</f>
        <v/>
      </c>
      <c r="G11" s="71">
        <f>IF(OR(B11="",C11=""),"",COUNTIFS('📋 Data Pasien'!$B:$B,B11,'📋 Data Pasien'!$J:$J,C11,'📋 Data Pasien'!$D:$D,250000))</f>
        <v/>
      </c>
      <c r="H11" s="71">
        <f>IF(OR(B11="",C11=""),"",COUNTIFS('📋 Data Pasien'!$B:$B,B11,'📋 Data Pasien'!$J:$J,C11,'📋 Data Pasien'!$D:$D,300000))</f>
        <v/>
      </c>
      <c r="I11" s="64">
        <f>IF(C11="","",SUM(D11:H11))</f>
        <v/>
      </c>
      <c r="J11" s="72">
        <f>IF(C11="","",D11*100000)</f>
        <v/>
      </c>
      <c r="K11" s="72">
        <f>IF(C11="","",E11*150000)</f>
        <v/>
      </c>
      <c r="L11" s="72">
        <f>IF(C11="","",F11*200000)</f>
        <v/>
      </c>
      <c r="M11" s="72">
        <f>IF(C11="","",G11*250000)</f>
        <v/>
      </c>
      <c r="N11" s="72">
        <f>IF(C11="","",H11*300000)</f>
        <v/>
      </c>
      <c r="O11" s="66">
        <f>IF(C11="","",SUM(J11:N11))</f>
        <v/>
      </c>
      <c r="P11" s="67">
        <f>IF(C11="","",D11*70000+E11*105000+F11*130000+G11*155000+H11*180000)</f>
        <v/>
      </c>
      <c r="Q11" s="68" t="n"/>
      <c r="R11" s="69">
        <f>IF(C11="","",D11*30000+E11*45000+F11*70000+G11*95000+H11*120000)</f>
        <v/>
      </c>
    </row>
    <row r="12" ht="15" customHeight="1" s="314">
      <c r="A12" s="60">
        <f>IF(C12&lt;&gt;"",9,"")</f>
        <v/>
      </c>
      <c r="B12" s="61" t="n"/>
      <c r="C12" s="62" t="n"/>
      <c r="D12" s="63">
        <f>IF(OR(B12="",C12=""),"",COUNTIFS('📋 Data Pasien'!$B:$B,B12,'📋 Data Pasien'!$J:$J,C12,'📋 Data Pasien'!$D:$D,100000))</f>
        <v/>
      </c>
      <c r="E12" s="63">
        <f>IF(OR(B12="",C12=""),"",COUNTIFS('📋 Data Pasien'!$B:$B,B12,'📋 Data Pasien'!$J:$J,C12,'📋 Data Pasien'!$D:$D,150000))</f>
        <v/>
      </c>
      <c r="F12" s="63">
        <f>IF(OR(B12="",C12=""),"",COUNTIFS('📋 Data Pasien'!$B:$B,B12,'📋 Data Pasien'!$J:$J,C12,'📋 Data Pasien'!$D:$D,200000))</f>
        <v/>
      </c>
      <c r="G12" s="63">
        <f>IF(OR(B12="",C12=""),"",COUNTIFS('📋 Data Pasien'!$B:$B,B12,'📋 Data Pasien'!$J:$J,C12,'📋 Data Pasien'!$D:$D,250000))</f>
        <v/>
      </c>
      <c r="H12" s="63">
        <f>IF(OR(B12="",C12=""),"",COUNTIFS('📋 Data Pasien'!$B:$B,B12,'📋 Data Pasien'!$J:$J,C12,'📋 Data Pasien'!$D:$D,300000))</f>
        <v/>
      </c>
      <c r="I12" s="64">
        <f>IF(C12="","",SUM(D12:H12))</f>
        <v/>
      </c>
      <c r="J12" s="65">
        <f>IF(C12="","",D12*100000)</f>
        <v/>
      </c>
      <c r="K12" s="65">
        <f>IF(C12="","",E12*150000)</f>
        <v/>
      </c>
      <c r="L12" s="65">
        <f>IF(C12="","",F12*200000)</f>
        <v/>
      </c>
      <c r="M12" s="65">
        <f>IF(C12="","",G12*250000)</f>
        <v/>
      </c>
      <c r="N12" s="65">
        <f>IF(C12="","",H12*300000)</f>
        <v/>
      </c>
      <c r="O12" s="66">
        <f>IF(C12="","",SUM(J12:N12))</f>
        <v/>
      </c>
      <c r="P12" s="67">
        <f>IF(C12="","",D12*70000+E12*105000+F12*130000+G12*155000+H12*180000)</f>
        <v/>
      </c>
      <c r="Q12" s="68" t="n"/>
      <c r="R12" s="69">
        <f>IF(C12="","",D12*30000+E12*45000+F12*70000+G12*95000+H12*120000)</f>
        <v/>
      </c>
    </row>
    <row r="13" ht="15" customHeight="1" s="314">
      <c r="A13" s="70">
        <f>IF(C13&lt;&gt;"",10,"")</f>
        <v/>
      </c>
      <c r="B13" s="61" t="n"/>
      <c r="C13" s="62" t="n"/>
      <c r="D13" s="71">
        <f>IF(OR(B13="",C13=""),"",COUNTIFS('📋 Data Pasien'!$B:$B,B13,'📋 Data Pasien'!$J:$J,C13,'📋 Data Pasien'!$D:$D,100000))</f>
        <v/>
      </c>
      <c r="E13" s="71">
        <f>IF(OR(B13="",C13=""),"",COUNTIFS('📋 Data Pasien'!$B:$B,B13,'📋 Data Pasien'!$J:$J,C13,'📋 Data Pasien'!$D:$D,150000))</f>
        <v/>
      </c>
      <c r="F13" s="71">
        <f>IF(OR(B13="",C13=""),"",COUNTIFS('📋 Data Pasien'!$B:$B,B13,'📋 Data Pasien'!$J:$J,C13,'📋 Data Pasien'!$D:$D,200000))</f>
        <v/>
      </c>
      <c r="G13" s="71">
        <f>IF(OR(B13="",C13=""),"",COUNTIFS('📋 Data Pasien'!$B:$B,B13,'📋 Data Pasien'!$J:$J,C13,'📋 Data Pasien'!$D:$D,250000))</f>
        <v/>
      </c>
      <c r="H13" s="71">
        <f>IF(OR(B13="",C13=""),"",COUNTIFS('📋 Data Pasien'!$B:$B,B13,'📋 Data Pasien'!$J:$J,C13,'📋 Data Pasien'!$D:$D,300000))</f>
        <v/>
      </c>
      <c r="I13" s="64">
        <f>IF(C13="","",SUM(D13:H13))</f>
        <v/>
      </c>
      <c r="J13" s="72">
        <f>IF(C13="","",D13*100000)</f>
        <v/>
      </c>
      <c r="K13" s="72">
        <f>IF(C13="","",E13*150000)</f>
        <v/>
      </c>
      <c r="L13" s="72">
        <f>IF(C13="","",F13*200000)</f>
        <v/>
      </c>
      <c r="M13" s="72">
        <f>IF(C13="","",G13*250000)</f>
        <v/>
      </c>
      <c r="N13" s="72">
        <f>IF(C13="","",H13*300000)</f>
        <v/>
      </c>
      <c r="O13" s="66">
        <f>IF(C13="","",SUM(J13:N13))</f>
        <v/>
      </c>
      <c r="P13" s="67">
        <f>IF(C13="","",D13*70000+E13*105000+F13*130000+G13*155000+H13*180000)</f>
        <v/>
      </c>
      <c r="Q13" s="68" t="n"/>
      <c r="R13" s="69">
        <f>IF(C13="","",D13*30000+E13*45000+F13*70000+G13*95000+H13*120000)</f>
        <v/>
      </c>
    </row>
    <row r="14" ht="15" customHeight="1" s="314">
      <c r="A14" s="60">
        <f>IF(C14&lt;&gt;"",11,"")</f>
        <v/>
      </c>
      <c r="B14" s="61" t="n"/>
      <c r="C14" s="62" t="n"/>
      <c r="D14" s="63">
        <f>IF(OR(B14="",C14=""),"",COUNTIFS('📋 Data Pasien'!$B:$B,B14,'📋 Data Pasien'!$J:$J,C14,'📋 Data Pasien'!$D:$D,100000))</f>
        <v/>
      </c>
      <c r="E14" s="63">
        <f>IF(OR(B14="",C14=""),"",COUNTIFS('📋 Data Pasien'!$B:$B,B14,'📋 Data Pasien'!$J:$J,C14,'📋 Data Pasien'!$D:$D,150000))</f>
        <v/>
      </c>
      <c r="F14" s="63">
        <f>IF(OR(B14="",C14=""),"",COUNTIFS('📋 Data Pasien'!$B:$B,B14,'📋 Data Pasien'!$J:$J,C14,'📋 Data Pasien'!$D:$D,200000))</f>
        <v/>
      </c>
      <c r="G14" s="63">
        <f>IF(OR(B14="",C14=""),"",COUNTIFS('📋 Data Pasien'!$B:$B,B14,'📋 Data Pasien'!$J:$J,C14,'📋 Data Pasien'!$D:$D,250000))</f>
        <v/>
      </c>
      <c r="H14" s="63">
        <f>IF(OR(B14="",C14=""),"",COUNTIFS('📋 Data Pasien'!$B:$B,B14,'📋 Data Pasien'!$J:$J,C14,'📋 Data Pasien'!$D:$D,300000))</f>
        <v/>
      </c>
      <c r="I14" s="64">
        <f>IF(C14="","",SUM(D14:H14))</f>
        <v/>
      </c>
      <c r="J14" s="65">
        <f>IF(C14="","",D14*100000)</f>
        <v/>
      </c>
      <c r="K14" s="65">
        <f>IF(C14="","",E14*150000)</f>
        <v/>
      </c>
      <c r="L14" s="65">
        <f>IF(C14="","",F14*200000)</f>
        <v/>
      </c>
      <c r="M14" s="65">
        <f>IF(C14="","",G14*250000)</f>
        <v/>
      </c>
      <c r="N14" s="65">
        <f>IF(C14="","",H14*300000)</f>
        <v/>
      </c>
      <c r="O14" s="66">
        <f>IF(C14="","",SUM(J14:N14))</f>
        <v/>
      </c>
      <c r="P14" s="67">
        <f>IF(C14="","",D14*70000+E14*105000+F14*130000+G14*155000+H14*180000)</f>
        <v/>
      </c>
      <c r="Q14" s="68" t="n"/>
      <c r="R14" s="69">
        <f>IF(C14="","",D14*30000+E14*45000+F14*70000+G14*95000+H14*120000)</f>
        <v/>
      </c>
    </row>
    <row r="15" ht="15" customHeight="1" s="314">
      <c r="A15" s="70">
        <f>IF(C15&lt;&gt;"",12,"")</f>
        <v/>
      </c>
      <c r="B15" s="61" t="n"/>
      <c r="C15" s="62" t="n"/>
      <c r="D15" s="71">
        <f>IF(OR(B15="",C15=""),"",COUNTIFS('📋 Data Pasien'!$B:$B,B15,'📋 Data Pasien'!$J:$J,C15,'📋 Data Pasien'!$D:$D,100000))</f>
        <v/>
      </c>
      <c r="E15" s="71">
        <f>IF(OR(B15="",C15=""),"",COUNTIFS('📋 Data Pasien'!$B:$B,B15,'📋 Data Pasien'!$J:$J,C15,'📋 Data Pasien'!$D:$D,150000))</f>
        <v/>
      </c>
      <c r="F15" s="71">
        <f>IF(OR(B15="",C15=""),"",COUNTIFS('📋 Data Pasien'!$B:$B,B15,'📋 Data Pasien'!$J:$J,C15,'📋 Data Pasien'!$D:$D,200000))</f>
        <v/>
      </c>
      <c r="G15" s="71">
        <f>IF(OR(B15="",C15=""),"",COUNTIFS('📋 Data Pasien'!$B:$B,B15,'📋 Data Pasien'!$J:$J,C15,'📋 Data Pasien'!$D:$D,250000))</f>
        <v/>
      </c>
      <c r="H15" s="71">
        <f>IF(OR(B15="",C15=""),"",COUNTIFS('📋 Data Pasien'!$B:$B,B15,'📋 Data Pasien'!$J:$J,C15,'📋 Data Pasien'!$D:$D,300000))</f>
        <v/>
      </c>
      <c r="I15" s="64">
        <f>IF(C15="","",SUM(D15:H15))</f>
        <v/>
      </c>
      <c r="J15" s="72">
        <f>IF(C15="","",D15*100000)</f>
        <v/>
      </c>
      <c r="K15" s="72">
        <f>IF(C15="","",E15*150000)</f>
        <v/>
      </c>
      <c r="L15" s="72">
        <f>IF(C15="","",F15*200000)</f>
        <v/>
      </c>
      <c r="M15" s="72">
        <f>IF(C15="","",G15*250000)</f>
        <v/>
      </c>
      <c r="N15" s="72">
        <f>IF(C15="","",H15*300000)</f>
        <v/>
      </c>
      <c r="O15" s="66">
        <f>IF(C15="","",SUM(J15:N15))</f>
        <v/>
      </c>
      <c r="P15" s="67">
        <f>IF(C15="","",D15*70000+E15*105000+F15*130000+G15*155000+H15*180000)</f>
        <v/>
      </c>
      <c r="Q15" s="68" t="n"/>
      <c r="R15" s="69">
        <f>IF(C15="","",D15*30000+E15*45000+F15*70000+G15*95000+H15*120000)</f>
        <v/>
      </c>
    </row>
    <row r="16" ht="15" customHeight="1" s="314">
      <c r="A16" s="60">
        <f>IF(C16&lt;&gt;"",13,"")</f>
        <v/>
      </c>
      <c r="B16" s="61" t="n"/>
      <c r="C16" s="62" t="n"/>
      <c r="D16" s="63">
        <f>IF(OR(B16="",C16=""),"",COUNTIFS('📋 Data Pasien'!$B:$B,B16,'📋 Data Pasien'!$J:$J,C16,'📋 Data Pasien'!$D:$D,100000))</f>
        <v/>
      </c>
      <c r="E16" s="63">
        <f>IF(OR(B16="",C16=""),"",COUNTIFS('📋 Data Pasien'!$B:$B,B16,'📋 Data Pasien'!$J:$J,C16,'📋 Data Pasien'!$D:$D,150000))</f>
        <v/>
      </c>
      <c r="F16" s="63">
        <f>IF(OR(B16="",C16=""),"",COUNTIFS('📋 Data Pasien'!$B:$B,B16,'📋 Data Pasien'!$J:$J,C16,'📋 Data Pasien'!$D:$D,200000))</f>
        <v/>
      </c>
      <c r="G16" s="63">
        <f>IF(OR(B16="",C16=""),"",COUNTIFS('📋 Data Pasien'!$B:$B,B16,'📋 Data Pasien'!$J:$J,C16,'📋 Data Pasien'!$D:$D,250000))</f>
        <v/>
      </c>
      <c r="H16" s="63">
        <f>IF(OR(B16="",C16=""),"",COUNTIFS('📋 Data Pasien'!$B:$B,B16,'📋 Data Pasien'!$J:$J,C16,'📋 Data Pasien'!$D:$D,300000))</f>
        <v/>
      </c>
      <c r="I16" s="64">
        <f>IF(C16="","",SUM(D16:H16))</f>
        <v/>
      </c>
      <c r="J16" s="65">
        <f>IF(C16="","",D16*100000)</f>
        <v/>
      </c>
      <c r="K16" s="65">
        <f>IF(C16="","",E16*150000)</f>
        <v/>
      </c>
      <c r="L16" s="65">
        <f>IF(C16="","",F16*200000)</f>
        <v/>
      </c>
      <c r="M16" s="65">
        <f>IF(C16="","",G16*250000)</f>
        <v/>
      </c>
      <c r="N16" s="65">
        <f>IF(C16="","",H16*300000)</f>
        <v/>
      </c>
      <c r="O16" s="66">
        <f>IF(C16="","",SUM(J16:N16))</f>
        <v/>
      </c>
      <c r="P16" s="67">
        <f>IF(C16="","",D16*70000+E16*105000+F16*130000+G16*155000+H16*180000)</f>
        <v/>
      </c>
      <c r="Q16" s="68" t="n"/>
      <c r="R16" s="69">
        <f>IF(C16="","",D16*30000+E16*45000+F16*70000+G16*95000+H16*120000)</f>
        <v/>
      </c>
    </row>
    <row r="17" ht="15" customHeight="1" s="314">
      <c r="A17" s="70">
        <f>IF(C17&lt;&gt;"",14,"")</f>
        <v/>
      </c>
      <c r="B17" s="61" t="n"/>
      <c r="C17" s="62" t="n"/>
      <c r="D17" s="71">
        <f>IF(OR(B17="",C17=""),"",COUNTIFS('📋 Data Pasien'!$B:$B,B17,'📋 Data Pasien'!$J:$J,C17,'📋 Data Pasien'!$D:$D,100000))</f>
        <v/>
      </c>
      <c r="E17" s="71">
        <f>IF(OR(B17="",C17=""),"",COUNTIFS('📋 Data Pasien'!$B:$B,B17,'📋 Data Pasien'!$J:$J,C17,'📋 Data Pasien'!$D:$D,150000))</f>
        <v/>
      </c>
      <c r="F17" s="71">
        <f>IF(OR(B17="",C17=""),"",COUNTIFS('📋 Data Pasien'!$B:$B,B17,'📋 Data Pasien'!$J:$J,C17,'📋 Data Pasien'!$D:$D,200000))</f>
        <v/>
      </c>
      <c r="G17" s="71">
        <f>IF(OR(B17="",C17=""),"",COUNTIFS('📋 Data Pasien'!$B:$B,B17,'📋 Data Pasien'!$J:$J,C17,'📋 Data Pasien'!$D:$D,250000))</f>
        <v/>
      </c>
      <c r="H17" s="71">
        <f>IF(OR(B17="",C17=""),"",COUNTIFS('📋 Data Pasien'!$B:$B,B17,'📋 Data Pasien'!$J:$J,C17,'📋 Data Pasien'!$D:$D,300000))</f>
        <v/>
      </c>
      <c r="I17" s="64">
        <f>IF(C17="","",SUM(D17:H17))</f>
        <v/>
      </c>
      <c r="J17" s="72">
        <f>IF(C17="","",D17*100000)</f>
        <v/>
      </c>
      <c r="K17" s="72">
        <f>IF(C17="","",E17*150000)</f>
        <v/>
      </c>
      <c r="L17" s="72">
        <f>IF(C17="","",F17*200000)</f>
        <v/>
      </c>
      <c r="M17" s="72">
        <f>IF(C17="","",G17*250000)</f>
        <v/>
      </c>
      <c r="N17" s="72">
        <f>IF(C17="","",H17*300000)</f>
        <v/>
      </c>
      <c r="O17" s="66">
        <f>IF(C17="","",SUM(J17:N17))</f>
        <v/>
      </c>
      <c r="P17" s="67">
        <f>IF(C17="","",D17*70000+E17*105000+F17*130000+G17*155000+H17*180000)</f>
        <v/>
      </c>
      <c r="Q17" s="68" t="n"/>
      <c r="R17" s="69">
        <f>IF(C17="","",D17*30000+E17*45000+F17*70000+G17*95000+H17*120000)</f>
        <v/>
      </c>
    </row>
    <row r="18" ht="15" customHeight="1" s="314">
      <c r="A18" s="60">
        <f>IF(C18&lt;&gt;"",15,"")</f>
        <v/>
      </c>
      <c r="B18" s="61" t="n"/>
      <c r="C18" s="62" t="n"/>
      <c r="D18" s="63">
        <f>IF(OR(B18="",C18=""),"",COUNTIFS('📋 Data Pasien'!$B:$B,B18,'📋 Data Pasien'!$J:$J,C18,'📋 Data Pasien'!$D:$D,100000))</f>
        <v/>
      </c>
      <c r="E18" s="63">
        <f>IF(OR(B18="",C18=""),"",COUNTIFS('📋 Data Pasien'!$B:$B,B18,'📋 Data Pasien'!$J:$J,C18,'📋 Data Pasien'!$D:$D,150000))</f>
        <v/>
      </c>
      <c r="F18" s="63">
        <f>IF(OR(B18="",C18=""),"",COUNTIFS('📋 Data Pasien'!$B:$B,B18,'📋 Data Pasien'!$J:$J,C18,'📋 Data Pasien'!$D:$D,200000))</f>
        <v/>
      </c>
      <c r="G18" s="63">
        <f>IF(OR(B18="",C18=""),"",COUNTIFS('📋 Data Pasien'!$B:$B,B18,'📋 Data Pasien'!$J:$J,C18,'📋 Data Pasien'!$D:$D,250000))</f>
        <v/>
      </c>
      <c r="H18" s="63">
        <f>IF(OR(B18="",C18=""),"",COUNTIFS('📋 Data Pasien'!$B:$B,B18,'📋 Data Pasien'!$J:$J,C18,'📋 Data Pasien'!$D:$D,300000))</f>
        <v/>
      </c>
      <c r="I18" s="64">
        <f>IF(C18="","",SUM(D18:H18))</f>
        <v/>
      </c>
      <c r="J18" s="65">
        <f>IF(C18="","",D18*100000)</f>
        <v/>
      </c>
      <c r="K18" s="65">
        <f>IF(C18="","",E18*150000)</f>
        <v/>
      </c>
      <c r="L18" s="65">
        <f>IF(C18="","",F18*200000)</f>
        <v/>
      </c>
      <c r="M18" s="65">
        <f>IF(C18="","",G18*250000)</f>
        <v/>
      </c>
      <c r="N18" s="65">
        <f>IF(C18="","",H18*300000)</f>
        <v/>
      </c>
      <c r="O18" s="66">
        <f>IF(C18="","",SUM(J18:N18))</f>
        <v/>
      </c>
      <c r="P18" s="67">
        <f>IF(C18="","",D18*70000+E18*105000+F18*130000+G18*155000+H18*180000)</f>
        <v/>
      </c>
      <c r="Q18" s="68" t="n"/>
      <c r="R18" s="69">
        <f>IF(C18="","",D18*30000+E18*45000+F18*70000+G18*95000+H18*120000)</f>
        <v/>
      </c>
    </row>
    <row r="19" ht="15" customHeight="1" s="314">
      <c r="A19" s="70">
        <f>IF(C19&lt;&gt;"",16,"")</f>
        <v/>
      </c>
      <c r="B19" s="61" t="n"/>
      <c r="C19" s="62" t="n"/>
      <c r="D19" s="71">
        <f>IF(OR(B19="",C19=""),"",COUNTIFS('📋 Data Pasien'!$B:$B,B19,'📋 Data Pasien'!$J:$J,C19,'📋 Data Pasien'!$D:$D,100000))</f>
        <v/>
      </c>
      <c r="E19" s="71">
        <f>IF(OR(B19="",C19=""),"",COUNTIFS('📋 Data Pasien'!$B:$B,B19,'📋 Data Pasien'!$J:$J,C19,'📋 Data Pasien'!$D:$D,150000))</f>
        <v/>
      </c>
      <c r="F19" s="71">
        <f>IF(OR(B19="",C19=""),"",COUNTIFS('📋 Data Pasien'!$B:$B,B19,'📋 Data Pasien'!$J:$J,C19,'📋 Data Pasien'!$D:$D,200000))</f>
        <v/>
      </c>
      <c r="G19" s="71">
        <f>IF(OR(B19="",C19=""),"",COUNTIFS('📋 Data Pasien'!$B:$B,B19,'📋 Data Pasien'!$J:$J,C19,'📋 Data Pasien'!$D:$D,250000))</f>
        <v/>
      </c>
      <c r="H19" s="71">
        <f>IF(OR(B19="",C19=""),"",COUNTIFS('📋 Data Pasien'!$B:$B,B19,'📋 Data Pasien'!$J:$J,C19,'📋 Data Pasien'!$D:$D,300000))</f>
        <v/>
      </c>
      <c r="I19" s="64">
        <f>IF(C19="","",SUM(D19:H19))</f>
        <v/>
      </c>
      <c r="J19" s="72">
        <f>IF(C19="","",D19*100000)</f>
        <v/>
      </c>
      <c r="K19" s="72">
        <f>IF(C19="","",E19*150000)</f>
        <v/>
      </c>
      <c r="L19" s="72">
        <f>IF(C19="","",F19*200000)</f>
        <v/>
      </c>
      <c r="M19" s="72">
        <f>IF(C19="","",G19*250000)</f>
        <v/>
      </c>
      <c r="N19" s="72">
        <f>IF(C19="","",H19*300000)</f>
        <v/>
      </c>
      <c r="O19" s="66">
        <f>IF(C19="","",SUM(J19:N19))</f>
        <v/>
      </c>
      <c r="P19" s="67">
        <f>IF(C19="","",D19*70000+E19*105000+F19*130000+G19*155000+H19*180000)</f>
        <v/>
      </c>
      <c r="Q19" s="68" t="n"/>
      <c r="R19" s="69">
        <f>IF(C19="","",D19*30000+E19*45000+F19*70000+G19*95000+H19*120000)</f>
        <v/>
      </c>
    </row>
    <row r="20" ht="15" customHeight="1" s="314">
      <c r="A20" s="60">
        <f>IF(C20&lt;&gt;"",17,"")</f>
        <v/>
      </c>
      <c r="B20" s="61" t="n"/>
      <c r="C20" s="62" t="n"/>
      <c r="D20" s="63">
        <f>IF(OR(B20="",C20=""),"",COUNTIFS('📋 Data Pasien'!$B:$B,B20,'📋 Data Pasien'!$J:$J,C20,'📋 Data Pasien'!$D:$D,100000))</f>
        <v/>
      </c>
      <c r="E20" s="63">
        <f>IF(OR(B20="",C20=""),"",COUNTIFS('📋 Data Pasien'!$B:$B,B20,'📋 Data Pasien'!$J:$J,C20,'📋 Data Pasien'!$D:$D,150000))</f>
        <v/>
      </c>
      <c r="F20" s="63">
        <f>IF(OR(B20="",C20=""),"",COUNTIFS('📋 Data Pasien'!$B:$B,B20,'📋 Data Pasien'!$J:$J,C20,'📋 Data Pasien'!$D:$D,200000))</f>
        <v/>
      </c>
      <c r="G20" s="63">
        <f>IF(OR(B20="",C20=""),"",COUNTIFS('📋 Data Pasien'!$B:$B,B20,'📋 Data Pasien'!$J:$J,C20,'📋 Data Pasien'!$D:$D,250000))</f>
        <v/>
      </c>
      <c r="H20" s="63">
        <f>IF(OR(B20="",C20=""),"",COUNTIFS('📋 Data Pasien'!$B:$B,B20,'📋 Data Pasien'!$J:$J,C20,'📋 Data Pasien'!$D:$D,300000))</f>
        <v/>
      </c>
      <c r="I20" s="64">
        <f>IF(C20="","",SUM(D20:H20))</f>
        <v/>
      </c>
      <c r="J20" s="65">
        <f>IF(C20="","",D20*100000)</f>
        <v/>
      </c>
      <c r="K20" s="65">
        <f>IF(C20="","",E20*150000)</f>
        <v/>
      </c>
      <c r="L20" s="65">
        <f>IF(C20="","",F20*200000)</f>
        <v/>
      </c>
      <c r="M20" s="65">
        <f>IF(C20="","",G20*250000)</f>
        <v/>
      </c>
      <c r="N20" s="65">
        <f>IF(C20="","",H20*300000)</f>
        <v/>
      </c>
      <c r="O20" s="66">
        <f>IF(C20="","",SUM(J20:N20))</f>
        <v/>
      </c>
      <c r="P20" s="67">
        <f>IF(C20="","",D20*70000+E20*105000+F20*130000+G20*155000+H20*180000)</f>
        <v/>
      </c>
      <c r="Q20" s="68" t="n"/>
      <c r="R20" s="69">
        <f>IF(C20="","",D20*30000+E20*45000+F20*70000+G20*95000+H20*120000)</f>
        <v/>
      </c>
    </row>
    <row r="21" ht="15" customHeight="1" s="314">
      <c r="A21" s="70">
        <f>IF(C21&lt;&gt;"",18,"")</f>
        <v/>
      </c>
      <c r="B21" s="61" t="n"/>
      <c r="C21" s="62" t="n"/>
      <c r="D21" s="71">
        <f>IF(OR(B21="",C21=""),"",COUNTIFS('📋 Data Pasien'!$B:$B,B21,'📋 Data Pasien'!$J:$J,C21,'📋 Data Pasien'!$D:$D,100000))</f>
        <v/>
      </c>
      <c r="E21" s="71">
        <f>IF(OR(B21="",C21=""),"",COUNTIFS('📋 Data Pasien'!$B:$B,B21,'📋 Data Pasien'!$J:$J,C21,'📋 Data Pasien'!$D:$D,150000))</f>
        <v/>
      </c>
      <c r="F21" s="71">
        <f>IF(OR(B21="",C21=""),"",COUNTIFS('📋 Data Pasien'!$B:$B,B21,'📋 Data Pasien'!$J:$J,C21,'📋 Data Pasien'!$D:$D,200000))</f>
        <v/>
      </c>
      <c r="G21" s="71">
        <f>IF(OR(B21="",C21=""),"",COUNTIFS('📋 Data Pasien'!$B:$B,B21,'📋 Data Pasien'!$J:$J,C21,'📋 Data Pasien'!$D:$D,250000))</f>
        <v/>
      </c>
      <c r="H21" s="71">
        <f>IF(OR(B21="",C21=""),"",COUNTIFS('📋 Data Pasien'!$B:$B,B21,'📋 Data Pasien'!$J:$J,C21,'📋 Data Pasien'!$D:$D,300000))</f>
        <v/>
      </c>
      <c r="I21" s="64">
        <f>IF(C21="","",SUM(D21:H21))</f>
        <v/>
      </c>
      <c r="J21" s="72">
        <f>IF(C21="","",D21*100000)</f>
        <v/>
      </c>
      <c r="K21" s="72">
        <f>IF(C21="","",E21*150000)</f>
        <v/>
      </c>
      <c r="L21" s="72">
        <f>IF(C21="","",F21*200000)</f>
        <v/>
      </c>
      <c r="M21" s="72">
        <f>IF(C21="","",G21*250000)</f>
        <v/>
      </c>
      <c r="N21" s="72">
        <f>IF(C21="","",H21*300000)</f>
        <v/>
      </c>
      <c r="O21" s="66">
        <f>IF(C21="","",SUM(J21:N21))</f>
        <v/>
      </c>
      <c r="P21" s="67">
        <f>IF(C21="","",D21*70000+E21*105000+F21*130000+G21*155000+H21*180000)</f>
        <v/>
      </c>
      <c r="Q21" s="68" t="n"/>
      <c r="R21" s="69">
        <f>IF(C21="","",D21*30000+E21*45000+F21*70000+G21*95000+H21*120000)</f>
        <v/>
      </c>
    </row>
    <row r="22" ht="21.75" customHeight="1" s="314">
      <c r="A22" s="60">
        <f>IF(C22&lt;&gt;"",19,"")</f>
        <v/>
      </c>
      <c r="B22" s="61" t="n"/>
      <c r="C22" s="62" t="n"/>
      <c r="D22" s="63">
        <f>IF(OR(B22="",C22=""),"",COUNTIFS('📋 Data Pasien'!$B:$B,B22,'📋 Data Pasien'!$J:$J,C22,'📋 Data Pasien'!$D:$D,100000))</f>
        <v/>
      </c>
      <c r="E22" s="63">
        <f>IF(OR(B22="",C22=""),"",COUNTIFS('📋 Data Pasien'!$B:$B,B22,'📋 Data Pasien'!$J:$J,C22,'📋 Data Pasien'!$D:$D,150000))</f>
        <v/>
      </c>
      <c r="F22" s="63">
        <f>IF(OR(B22="",C22=""),"",COUNTIFS('📋 Data Pasien'!$B:$B,B22,'📋 Data Pasien'!$J:$J,C22,'📋 Data Pasien'!$D:$D,200000))</f>
        <v/>
      </c>
      <c r="G22" s="63">
        <f>IF(OR(B22="",C22=""),"",COUNTIFS('📋 Data Pasien'!$B:$B,B22,'📋 Data Pasien'!$J:$J,C22,'📋 Data Pasien'!$D:$D,250000))</f>
        <v/>
      </c>
      <c r="H22" s="63">
        <f>IF(OR(B22="",C22=""),"",COUNTIFS('📋 Data Pasien'!$B:$B,B22,'📋 Data Pasien'!$J:$J,C22,'📋 Data Pasien'!$D:$D,300000))</f>
        <v/>
      </c>
      <c r="I22" s="64">
        <f>IF(C22="","",SUM(D22:H22))</f>
        <v/>
      </c>
      <c r="J22" s="65">
        <f>IF(C22="","",D22*100000)</f>
        <v/>
      </c>
      <c r="K22" s="65">
        <f>IF(C22="","",E22*150000)</f>
        <v/>
      </c>
      <c r="L22" s="65">
        <f>IF(C22="","",F22*200000)</f>
        <v/>
      </c>
      <c r="M22" s="65">
        <f>IF(C22="","",G22*250000)</f>
        <v/>
      </c>
      <c r="N22" s="65">
        <f>IF(C22="","",H22*300000)</f>
        <v/>
      </c>
      <c r="O22" s="66">
        <f>IF(C22="","",SUM(J22:N22))</f>
        <v/>
      </c>
      <c r="P22" s="67">
        <f>IF(C22="","",D22*70000+E22*105000+F22*130000+G22*155000+H22*180000)</f>
        <v/>
      </c>
      <c r="Q22" s="68" t="n"/>
      <c r="R22" s="69">
        <f>IF(C22="","",D22*30000+E22*45000+F22*70000+G22*95000+H22*120000)</f>
        <v/>
      </c>
    </row>
    <row r="23" ht="15" customHeight="1" s="314">
      <c r="A23" s="60">
        <f>IF(C23&lt;&gt;"",20,"")</f>
        <v/>
      </c>
      <c r="B23" s="73" t="n"/>
      <c r="C23" s="62" t="n"/>
      <c r="D23" s="63">
        <f>IF(OR(B23="",C23=""),"",COUNTIFS('📋 Data Pasien'!$B:$B,B23,'📋 Data Pasien'!$J:$J,C23,'📋 Data Pasien'!$D:$D,100000))</f>
        <v/>
      </c>
      <c r="E23" s="63">
        <f>IF(OR(B23="",C23=""),"",COUNTIFS('📋 Data Pasien'!$B:$B,B23,'📋 Data Pasien'!$J:$J,C23,'📋 Data Pasien'!$D:$D,150000))</f>
        <v/>
      </c>
      <c r="F23" s="63">
        <f>IF(OR(B23="",C23=""),"",COUNTIFS('📋 Data Pasien'!$B:$B,B23,'📋 Data Pasien'!$J:$J,C23,'📋 Data Pasien'!$D:$D,200000))</f>
        <v/>
      </c>
      <c r="G23" s="63">
        <f>IF(OR(B23="",C23=""),"",COUNTIFS('📋 Data Pasien'!$B:$B,B23,'📋 Data Pasien'!$J:$J,C23,'📋 Data Pasien'!$D:$D,250000))</f>
        <v/>
      </c>
      <c r="H23" s="63">
        <f>IF(OR(B23="",C23=""),"",COUNTIFS('📋 Data Pasien'!$B:$B,B23,'📋 Data Pasien'!$J:$J,C23,'📋 Data Pasien'!$D:$D,300000))</f>
        <v/>
      </c>
      <c r="I23" s="64">
        <f>IF(C23="","",SUM(D23:H23))</f>
        <v/>
      </c>
      <c r="J23" s="65">
        <f>IF(C23="","",D23*100000)</f>
        <v/>
      </c>
      <c r="K23" s="65">
        <f>IF(C23="","",E23*150000)</f>
        <v/>
      </c>
      <c r="L23" s="65">
        <f>IF(C23="","",F23*200000)</f>
        <v/>
      </c>
      <c r="M23" s="65">
        <f>IF(C23="","",G23*250000)</f>
        <v/>
      </c>
      <c r="N23" s="65">
        <f>IF(C23="","",H23*300000)</f>
        <v/>
      </c>
      <c r="O23" s="66">
        <f>IF(C23="","",SUM(J23:N23))</f>
        <v/>
      </c>
      <c r="P23" s="67">
        <f>IF(C23="","",D23*70000+E23*105000+F23*130000+G23*155000+H23*180000)</f>
        <v/>
      </c>
      <c r="Q23" s="68" t="n"/>
      <c r="R23" s="69">
        <f>IF(C23="","",D23*30000+E23*45000+F23*70000+G23*95000+H23*120000)</f>
        <v/>
      </c>
    </row>
    <row r="24" ht="15" customHeight="1" s="314">
      <c r="A24" s="60">
        <f>IF(C24&lt;&gt;"",21,"")</f>
        <v/>
      </c>
      <c r="B24" s="73" t="n"/>
      <c r="C24" s="62" t="n"/>
      <c r="D24" s="63">
        <f>IF(OR(B24="",C24=""),"",COUNTIFS('📋 Data Pasien'!$B:$B,B24,'📋 Data Pasien'!$J:$J,C24,'📋 Data Pasien'!$D:$D,100000))</f>
        <v/>
      </c>
      <c r="E24" s="63">
        <f>IF(OR(B24="",C24=""),"",COUNTIFS('📋 Data Pasien'!$B:$B,B24,'📋 Data Pasien'!$J:$J,C24,'📋 Data Pasien'!$D:$D,150000))</f>
        <v/>
      </c>
      <c r="F24" s="63">
        <f>IF(OR(B24="",C24=""),"",COUNTIFS('📋 Data Pasien'!$B:$B,B24,'📋 Data Pasien'!$J:$J,C24,'📋 Data Pasien'!$D:$D,200000))</f>
        <v/>
      </c>
      <c r="G24" s="63">
        <f>IF(OR(B24="",C24=""),"",COUNTIFS('📋 Data Pasien'!$B:$B,B24,'📋 Data Pasien'!$J:$J,C24,'📋 Data Pasien'!$D:$D,250000))</f>
        <v/>
      </c>
      <c r="H24" s="63">
        <f>IF(OR(B24="",C24=""),"",COUNTIFS('📋 Data Pasien'!$B:$B,B24,'📋 Data Pasien'!$J:$J,C24,'📋 Data Pasien'!$D:$D,300000))</f>
        <v/>
      </c>
      <c r="I24" s="64">
        <f>IF(C24="","",SUM(D24:H24))</f>
        <v/>
      </c>
      <c r="J24" s="65">
        <f>IF(C24="","",D24*100000)</f>
        <v/>
      </c>
      <c r="K24" s="65">
        <f>IF(C24="","",E24*150000)</f>
        <v/>
      </c>
      <c r="L24" s="65">
        <f>IF(C24="","",F24*200000)</f>
        <v/>
      </c>
      <c r="M24" s="65">
        <f>IF(C24="","",G24*250000)</f>
        <v/>
      </c>
      <c r="N24" s="65">
        <f>IF(C24="","",H24*300000)</f>
        <v/>
      </c>
      <c r="O24" s="66">
        <f>IF(C24="","",SUM(J24:N24))</f>
        <v/>
      </c>
      <c r="P24" s="67">
        <f>IF(C24="","",D24*70000+E24*105000+F24*130000+G24*155000+H24*180000)</f>
        <v/>
      </c>
      <c r="Q24" s="68" t="n"/>
      <c r="R24" s="69">
        <f>IF(C24="","",D24*30000+E24*45000+F24*70000+G24*95000+H24*120000)</f>
        <v/>
      </c>
    </row>
    <row r="25" ht="15" customHeight="1" s="314">
      <c r="A25" s="60">
        <f>IF(C25&lt;&gt;"",22,"")</f>
        <v/>
      </c>
      <c r="B25" s="73" t="n"/>
      <c r="C25" s="62" t="n"/>
      <c r="D25" s="63">
        <f>IF(OR(B25="",C25=""),"",COUNTIFS('📋 Data Pasien'!$B:$B,B25,'📋 Data Pasien'!$J:$J,C25,'📋 Data Pasien'!$D:$D,100000))</f>
        <v/>
      </c>
      <c r="E25" s="63">
        <f>IF(OR(B25="",C25=""),"",COUNTIFS('📋 Data Pasien'!$B:$B,B25,'📋 Data Pasien'!$J:$J,C25,'📋 Data Pasien'!$D:$D,150000))</f>
        <v/>
      </c>
      <c r="F25" s="63">
        <f>IF(OR(B25="",C25=""),"",COUNTIFS('📋 Data Pasien'!$B:$B,B25,'📋 Data Pasien'!$J:$J,C25,'📋 Data Pasien'!$D:$D,200000))</f>
        <v/>
      </c>
      <c r="G25" s="63">
        <f>IF(OR(B25="",C25=""),"",COUNTIFS('📋 Data Pasien'!$B:$B,B25,'📋 Data Pasien'!$J:$J,C25,'📋 Data Pasien'!$D:$D,250000))</f>
        <v/>
      </c>
      <c r="H25" s="63">
        <f>IF(OR(B25="",C25=""),"",COUNTIFS('📋 Data Pasien'!$B:$B,B25,'📋 Data Pasien'!$J:$J,C25,'📋 Data Pasien'!$D:$D,300000))</f>
        <v/>
      </c>
      <c r="I25" s="64">
        <f>IF(C25="","",SUM(D25:H25))</f>
        <v/>
      </c>
      <c r="J25" s="65">
        <f>IF(C25="","",D25*100000)</f>
        <v/>
      </c>
      <c r="K25" s="65">
        <f>IF(C25="","",E25*150000)</f>
        <v/>
      </c>
      <c r="L25" s="65">
        <f>IF(C25="","",F25*200000)</f>
        <v/>
      </c>
      <c r="M25" s="65">
        <f>IF(C25="","",G25*250000)</f>
        <v/>
      </c>
      <c r="N25" s="65">
        <f>IF(C25="","",H25*300000)</f>
        <v/>
      </c>
      <c r="O25" s="66">
        <f>IF(C25="","",SUM(J25:N25))</f>
        <v/>
      </c>
      <c r="P25" s="67">
        <f>IF(C25="","",D25*70000+E25*105000+F25*130000+G25*155000+H25*180000)</f>
        <v/>
      </c>
      <c r="Q25" s="68" t="n"/>
      <c r="R25" s="69">
        <f>IF(C25="","",D25*30000+E25*45000+F25*70000+G25*95000+H25*120000)</f>
        <v/>
      </c>
    </row>
    <row r="26" ht="15" customHeight="1" s="314">
      <c r="A26" s="60">
        <f>IF(C26&lt;&gt;"",23,"")</f>
        <v/>
      </c>
      <c r="B26" s="73" t="n"/>
      <c r="C26" s="62" t="n"/>
      <c r="D26" s="63">
        <f>IF(OR(B26="",C26=""),"",COUNTIFS('📋 Data Pasien'!$B:$B,B26,'📋 Data Pasien'!$J:$J,C26,'📋 Data Pasien'!$D:$D,100000))</f>
        <v/>
      </c>
      <c r="E26" s="63">
        <f>IF(OR(B26="",C26=""),"",COUNTIFS('📋 Data Pasien'!$B:$B,B26,'📋 Data Pasien'!$J:$J,C26,'📋 Data Pasien'!$D:$D,150000))</f>
        <v/>
      </c>
      <c r="F26" s="63">
        <f>IF(OR(B26="",C26=""),"",COUNTIFS('📋 Data Pasien'!$B:$B,B26,'📋 Data Pasien'!$J:$J,C26,'📋 Data Pasien'!$D:$D,200000))</f>
        <v/>
      </c>
      <c r="G26" s="63">
        <f>IF(OR(B26="",C26=""),"",COUNTIFS('📋 Data Pasien'!$B:$B,B26,'📋 Data Pasien'!$J:$J,C26,'📋 Data Pasien'!$D:$D,250000))</f>
        <v/>
      </c>
      <c r="H26" s="63">
        <f>IF(OR(B26="",C26=""),"",COUNTIFS('📋 Data Pasien'!$B:$B,B26,'📋 Data Pasien'!$J:$J,C26,'📋 Data Pasien'!$D:$D,300000))</f>
        <v/>
      </c>
      <c r="I26" s="64">
        <f>IF(C26="","",SUM(D26:H26))</f>
        <v/>
      </c>
      <c r="J26" s="65">
        <f>IF(C26="","",D26*100000)</f>
        <v/>
      </c>
      <c r="K26" s="65">
        <f>IF(C26="","",E26*150000)</f>
        <v/>
      </c>
      <c r="L26" s="65">
        <f>IF(C26="","",F26*200000)</f>
        <v/>
      </c>
      <c r="M26" s="65">
        <f>IF(C26="","",G26*250000)</f>
        <v/>
      </c>
      <c r="N26" s="65">
        <f>IF(C26="","",H26*300000)</f>
        <v/>
      </c>
      <c r="O26" s="66">
        <f>IF(C26="","",SUM(J26:N26))</f>
        <v/>
      </c>
      <c r="P26" s="67">
        <f>IF(C26="","",D26*70000+E26*105000+F26*130000+G26*155000+H26*180000)</f>
        <v/>
      </c>
      <c r="Q26" s="68" t="n"/>
      <c r="R26" s="69">
        <f>IF(C26="","",D26*30000+E26*45000+F26*70000+G26*95000+H26*120000)</f>
        <v/>
      </c>
    </row>
    <row r="27" ht="15" customHeight="1" s="314">
      <c r="A27" s="60">
        <f>IF(C27&lt;&gt;"",24,"")</f>
        <v/>
      </c>
      <c r="B27" s="73" t="n"/>
      <c r="C27" s="62" t="n"/>
      <c r="D27" s="63">
        <f>IF(OR(B27="",C27=""),"",COUNTIFS('📋 Data Pasien'!$B:$B,B27,'📋 Data Pasien'!$J:$J,C27,'📋 Data Pasien'!$D:$D,100000))</f>
        <v/>
      </c>
      <c r="E27" s="63">
        <f>IF(OR(B27="",C27=""),"",COUNTIFS('📋 Data Pasien'!$B:$B,B27,'📋 Data Pasien'!$J:$J,C27,'📋 Data Pasien'!$D:$D,150000))</f>
        <v/>
      </c>
      <c r="F27" s="63">
        <f>IF(OR(B27="",C27=""),"",COUNTIFS('📋 Data Pasien'!$B:$B,B27,'📋 Data Pasien'!$J:$J,C27,'📋 Data Pasien'!$D:$D,200000))</f>
        <v/>
      </c>
      <c r="G27" s="63">
        <f>IF(OR(B27="",C27=""),"",COUNTIFS('📋 Data Pasien'!$B:$B,B27,'📋 Data Pasien'!$J:$J,C27,'📋 Data Pasien'!$D:$D,250000))</f>
        <v/>
      </c>
      <c r="H27" s="63">
        <f>IF(OR(B27="",C27=""),"",COUNTIFS('📋 Data Pasien'!$B:$B,B27,'📋 Data Pasien'!$J:$J,C27,'📋 Data Pasien'!$D:$D,300000))</f>
        <v/>
      </c>
      <c r="I27" s="64">
        <f>IF(C27="","",SUM(D27:H27))</f>
        <v/>
      </c>
      <c r="J27" s="65">
        <f>IF(C27="","",D27*100000)</f>
        <v/>
      </c>
      <c r="K27" s="65">
        <f>IF(C27="","",E27*150000)</f>
        <v/>
      </c>
      <c r="L27" s="65">
        <f>IF(C27="","",F27*200000)</f>
        <v/>
      </c>
      <c r="M27" s="65">
        <f>IF(C27="","",G27*250000)</f>
        <v/>
      </c>
      <c r="N27" s="65">
        <f>IF(C27="","",H27*300000)</f>
        <v/>
      </c>
      <c r="O27" s="66">
        <f>IF(C27="","",SUM(J27:N27))</f>
        <v/>
      </c>
      <c r="P27" s="67">
        <f>IF(C27="","",D27*70000+E27*105000+F27*130000+G27*155000+H27*180000)</f>
        <v/>
      </c>
      <c r="Q27" s="68" t="n"/>
      <c r="R27" s="69">
        <f>IF(C27="","",D27*30000+E27*45000+F27*70000+G27*95000+H27*120000)</f>
        <v/>
      </c>
    </row>
    <row r="28" ht="15" customHeight="1" s="314">
      <c r="A28" s="60">
        <f>IF(C28&lt;&gt;"",25,"")</f>
        <v/>
      </c>
      <c r="B28" s="73" t="n"/>
      <c r="C28" s="62" t="n"/>
      <c r="D28" s="63">
        <f>IF(OR(B28="",C28=""),"",COUNTIFS('📋 Data Pasien'!$B:$B,B28,'📋 Data Pasien'!$J:$J,C28,'📋 Data Pasien'!$D:$D,100000))</f>
        <v/>
      </c>
      <c r="E28" s="63">
        <f>IF(OR(B28="",C28=""),"",COUNTIFS('📋 Data Pasien'!$B:$B,B28,'📋 Data Pasien'!$J:$J,C28,'📋 Data Pasien'!$D:$D,150000))</f>
        <v/>
      </c>
      <c r="F28" s="63">
        <f>IF(OR(B28="",C28=""),"",COUNTIFS('📋 Data Pasien'!$B:$B,B28,'📋 Data Pasien'!$J:$J,C28,'📋 Data Pasien'!$D:$D,200000))</f>
        <v/>
      </c>
      <c r="G28" s="63">
        <f>IF(OR(B28="",C28=""),"",COUNTIFS('📋 Data Pasien'!$B:$B,B28,'📋 Data Pasien'!$J:$J,C28,'📋 Data Pasien'!$D:$D,250000))</f>
        <v/>
      </c>
      <c r="H28" s="63">
        <f>IF(OR(B28="",C28=""),"",COUNTIFS('📋 Data Pasien'!$B:$B,B28,'📋 Data Pasien'!$J:$J,C28,'📋 Data Pasien'!$D:$D,300000))</f>
        <v/>
      </c>
      <c r="I28" s="64">
        <f>IF(C28="","",SUM(D28:H28))</f>
        <v/>
      </c>
      <c r="J28" s="65">
        <f>IF(C28="","",D28*100000)</f>
        <v/>
      </c>
      <c r="K28" s="65">
        <f>IF(C28="","",E28*150000)</f>
        <v/>
      </c>
      <c r="L28" s="65">
        <f>IF(C28="","",F28*200000)</f>
        <v/>
      </c>
      <c r="M28" s="65">
        <f>IF(C28="","",G28*250000)</f>
        <v/>
      </c>
      <c r="N28" s="65">
        <f>IF(C28="","",H28*300000)</f>
        <v/>
      </c>
      <c r="O28" s="66">
        <f>IF(C28="","",SUM(J28:N28))</f>
        <v/>
      </c>
      <c r="P28" s="67">
        <f>IF(C28="","",D28*70000+E28*105000+F28*130000+G28*155000+H28*180000)</f>
        <v/>
      </c>
      <c r="Q28" s="68" t="n"/>
      <c r="R28" s="69">
        <f>IF(C28="","",D28*30000+E28*45000+F28*70000+G28*95000+H28*120000)</f>
        <v/>
      </c>
    </row>
    <row r="29" ht="15" customHeight="1" s="314">
      <c r="A29" s="60">
        <f>IF(C29&lt;&gt;"",26,"")</f>
        <v/>
      </c>
      <c r="B29" s="73" t="n"/>
      <c r="C29" s="62" t="n"/>
      <c r="D29" s="63">
        <f>IF(OR(B29="",C29=""),"",COUNTIFS('📋 Data Pasien'!$B:$B,B29,'📋 Data Pasien'!$J:$J,C29,'📋 Data Pasien'!$D:$D,100000))</f>
        <v/>
      </c>
      <c r="E29" s="63">
        <f>IF(OR(B29="",C29=""),"",COUNTIFS('📋 Data Pasien'!$B:$B,B29,'📋 Data Pasien'!$J:$J,C29,'📋 Data Pasien'!$D:$D,150000))</f>
        <v/>
      </c>
      <c r="F29" s="63">
        <f>IF(OR(B29="",C29=""),"",COUNTIFS('📋 Data Pasien'!$B:$B,B29,'📋 Data Pasien'!$J:$J,C29,'📋 Data Pasien'!$D:$D,200000))</f>
        <v/>
      </c>
      <c r="G29" s="63">
        <f>IF(OR(B29="",C29=""),"",COUNTIFS('📋 Data Pasien'!$B:$B,B29,'📋 Data Pasien'!$J:$J,C29,'📋 Data Pasien'!$D:$D,250000))</f>
        <v/>
      </c>
      <c r="H29" s="63">
        <f>IF(OR(B29="",C29=""),"",COUNTIFS('📋 Data Pasien'!$B:$B,B29,'📋 Data Pasien'!$J:$J,C29,'📋 Data Pasien'!$D:$D,300000))</f>
        <v/>
      </c>
      <c r="I29" s="64">
        <f>IF(C29="","",SUM(D29:H29))</f>
        <v/>
      </c>
      <c r="J29" s="65">
        <f>IF(C29="","",D29*100000)</f>
        <v/>
      </c>
      <c r="K29" s="65">
        <f>IF(C29="","",E29*150000)</f>
        <v/>
      </c>
      <c r="L29" s="65">
        <f>IF(C29="","",F29*200000)</f>
        <v/>
      </c>
      <c r="M29" s="65">
        <f>IF(C29="","",G29*250000)</f>
        <v/>
      </c>
      <c r="N29" s="65">
        <f>IF(C29="","",H29*300000)</f>
        <v/>
      </c>
      <c r="O29" s="66">
        <f>IF(C29="","",SUM(J29:N29))</f>
        <v/>
      </c>
      <c r="P29" s="67">
        <f>IF(C29="","",D29*70000+E29*105000+F29*130000+G29*155000+H29*180000)</f>
        <v/>
      </c>
      <c r="Q29" s="68" t="n"/>
      <c r="R29" s="69">
        <f>IF(C29="","",D29*30000+E29*45000+F29*70000+G29*95000+H29*120000)</f>
        <v/>
      </c>
    </row>
    <row r="30" ht="15" customHeight="1" s="314">
      <c r="A30" s="60">
        <f>IF(C30&lt;&gt;"",27,"")</f>
        <v/>
      </c>
      <c r="B30" s="73" t="n"/>
      <c r="C30" s="62" t="n"/>
      <c r="D30" s="63">
        <f>IF(OR(B30="",C30=""),"",COUNTIFS('📋 Data Pasien'!$B:$B,B30,'📋 Data Pasien'!$J:$J,C30,'📋 Data Pasien'!$D:$D,100000))</f>
        <v/>
      </c>
      <c r="E30" s="63">
        <f>IF(OR(B30="",C30=""),"",COUNTIFS('📋 Data Pasien'!$B:$B,B30,'📋 Data Pasien'!$J:$J,C30,'📋 Data Pasien'!$D:$D,150000))</f>
        <v/>
      </c>
      <c r="F30" s="63">
        <f>IF(OR(B30="",C30=""),"",COUNTIFS('📋 Data Pasien'!$B:$B,B30,'📋 Data Pasien'!$J:$J,C30,'📋 Data Pasien'!$D:$D,200000))</f>
        <v/>
      </c>
      <c r="G30" s="63">
        <f>IF(OR(B30="",C30=""),"",COUNTIFS('📋 Data Pasien'!$B:$B,B30,'📋 Data Pasien'!$J:$J,C30,'📋 Data Pasien'!$D:$D,250000))</f>
        <v/>
      </c>
      <c r="H30" s="63">
        <f>IF(OR(B30="",C30=""),"",COUNTIFS('📋 Data Pasien'!$B:$B,B30,'📋 Data Pasien'!$J:$J,C30,'📋 Data Pasien'!$D:$D,300000))</f>
        <v/>
      </c>
      <c r="I30" s="64">
        <f>IF(C30="","",SUM(D30:H30))</f>
        <v/>
      </c>
      <c r="J30" s="65">
        <f>IF(C30="","",D30*100000)</f>
        <v/>
      </c>
      <c r="K30" s="65">
        <f>IF(C30="","",E30*150000)</f>
        <v/>
      </c>
      <c r="L30" s="65">
        <f>IF(C30="","",F30*200000)</f>
        <v/>
      </c>
      <c r="M30" s="65">
        <f>IF(C30="","",G30*250000)</f>
        <v/>
      </c>
      <c r="N30" s="65">
        <f>IF(C30="","",H30*300000)</f>
        <v/>
      </c>
      <c r="O30" s="66">
        <f>IF(C30="","",SUM(J30:N30))</f>
        <v/>
      </c>
      <c r="P30" s="67">
        <f>IF(C30="","",D30*70000+E30*105000+F30*130000+G30*155000+H30*180000)</f>
        <v/>
      </c>
      <c r="Q30" s="68" t="n"/>
      <c r="R30" s="69">
        <f>IF(C30="","",D30*30000+E30*45000+F30*70000+G30*95000+H30*120000)</f>
        <v/>
      </c>
    </row>
    <row r="31" ht="15" customHeight="1" s="314">
      <c r="A31" s="60">
        <f>IF(C31&lt;&gt;"",28,"")</f>
        <v/>
      </c>
      <c r="B31" s="73" t="n"/>
      <c r="C31" s="62" t="n"/>
      <c r="D31" s="63">
        <f>IF(OR(B31="",C31=""),"",COUNTIFS('📋 Data Pasien'!$B:$B,B31,'📋 Data Pasien'!$J:$J,C31,'📋 Data Pasien'!$D:$D,100000))</f>
        <v/>
      </c>
      <c r="E31" s="63">
        <f>IF(OR(B31="",C31=""),"",COUNTIFS('📋 Data Pasien'!$B:$B,B31,'📋 Data Pasien'!$J:$J,C31,'📋 Data Pasien'!$D:$D,150000))</f>
        <v/>
      </c>
      <c r="F31" s="63">
        <f>IF(OR(B31="",C31=""),"",COUNTIFS('📋 Data Pasien'!$B:$B,B31,'📋 Data Pasien'!$J:$J,C31,'📋 Data Pasien'!$D:$D,200000))</f>
        <v/>
      </c>
      <c r="G31" s="63">
        <f>IF(OR(B31="",C31=""),"",COUNTIFS('📋 Data Pasien'!$B:$B,B31,'📋 Data Pasien'!$J:$J,C31,'📋 Data Pasien'!$D:$D,250000))</f>
        <v/>
      </c>
      <c r="H31" s="63">
        <f>IF(OR(B31="",C31=""),"",COUNTIFS('📋 Data Pasien'!$B:$B,B31,'📋 Data Pasien'!$J:$J,C31,'📋 Data Pasien'!$D:$D,300000))</f>
        <v/>
      </c>
      <c r="I31" s="64">
        <f>IF(C31="","",SUM(D31:H31))</f>
        <v/>
      </c>
      <c r="J31" s="65">
        <f>IF(C31="","",D31*100000)</f>
        <v/>
      </c>
      <c r="K31" s="65">
        <f>IF(C31="","",E31*150000)</f>
        <v/>
      </c>
      <c r="L31" s="65">
        <f>IF(C31="","",F31*200000)</f>
        <v/>
      </c>
      <c r="M31" s="65">
        <f>IF(C31="","",G31*250000)</f>
        <v/>
      </c>
      <c r="N31" s="65">
        <f>IF(C31="","",H31*300000)</f>
        <v/>
      </c>
      <c r="O31" s="66">
        <f>IF(C31="","",SUM(J31:N31))</f>
        <v/>
      </c>
      <c r="P31" s="67">
        <f>IF(C31="","",D31*70000+E31*105000+F31*130000+G31*155000+H31*180000)</f>
        <v/>
      </c>
      <c r="Q31" s="68" t="n"/>
      <c r="R31" s="69">
        <f>IF(C31="","",D31*30000+E31*45000+F31*70000+G31*95000+H31*120000)</f>
        <v/>
      </c>
    </row>
    <row r="32" ht="15" customHeight="1" s="314">
      <c r="A32" s="60">
        <f>IF(C32&lt;&gt;"",29,"")</f>
        <v/>
      </c>
      <c r="B32" s="73" t="n"/>
      <c r="C32" s="62" t="n"/>
      <c r="D32" s="63">
        <f>IF(OR(B32="",C32=""),"",COUNTIFS('📋 Data Pasien'!$B:$B,B32,'📋 Data Pasien'!$J:$J,C32,'📋 Data Pasien'!$D:$D,100000))</f>
        <v/>
      </c>
      <c r="E32" s="63">
        <f>IF(OR(B32="",C32=""),"",COUNTIFS('📋 Data Pasien'!$B:$B,B32,'📋 Data Pasien'!$J:$J,C32,'📋 Data Pasien'!$D:$D,150000))</f>
        <v/>
      </c>
      <c r="F32" s="63">
        <f>IF(OR(B32="",C32=""),"",COUNTIFS('📋 Data Pasien'!$B:$B,B32,'📋 Data Pasien'!$J:$J,C32,'📋 Data Pasien'!$D:$D,200000))</f>
        <v/>
      </c>
      <c r="G32" s="63">
        <f>IF(OR(B32="",C32=""),"",COUNTIFS('📋 Data Pasien'!$B:$B,B32,'📋 Data Pasien'!$J:$J,C32,'📋 Data Pasien'!$D:$D,250000))</f>
        <v/>
      </c>
      <c r="H32" s="63">
        <f>IF(OR(B32="",C32=""),"",COUNTIFS('📋 Data Pasien'!$B:$B,B32,'📋 Data Pasien'!$J:$J,C32,'📋 Data Pasien'!$D:$D,300000))</f>
        <v/>
      </c>
      <c r="I32" s="64">
        <f>IF(C32="","",SUM(D32:H32))</f>
        <v/>
      </c>
      <c r="J32" s="65">
        <f>IF(C32="","",D32*100000)</f>
        <v/>
      </c>
      <c r="K32" s="65">
        <f>IF(C32="","",E32*150000)</f>
        <v/>
      </c>
      <c r="L32" s="65">
        <f>IF(C32="","",F32*200000)</f>
        <v/>
      </c>
      <c r="M32" s="65">
        <f>IF(C32="","",G32*250000)</f>
        <v/>
      </c>
      <c r="N32" s="65">
        <f>IF(C32="","",H32*300000)</f>
        <v/>
      </c>
      <c r="O32" s="66">
        <f>IF(C32="","",SUM(J32:N32))</f>
        <v/>
      </c>
      <c r="P32" s="67">
        <f>IF(C32="","",D32*70000+E32*105000+F32*130000+G32*155000+H32*180000)</f>
        <v/>
      </c>
      <c r="Q32" s="68" t="n"/>
      <c r="R32" s="69">
        <f>IF(C32="","",D32*30000+E32*45000+F32*70000+G32*95000+H32*120000)</f>
        <v/>
      </c>
    </row>
    <row r="33" ht="15" customHeight="1" s="314">
      <c r="A33" s="60">
        <f>IF(C33&lt;&gt;"",30,"")</f>
        <v/>
      </c>
      <c r="B33" s="73" t="n"/>
      <c r="C33" s="62" t="n"/>
      <c r="D33" s="63">
        <f>IF(OR(B33="",C33=""),"",COUNTIFS('📋 Data Pasien'!$B:$B,B33,'📋 Data Pasien'!$J:$J,C33,'📋 Data Pasien'!$D:$D,100000))</f>
        <v/>
      </c>
      <c r="E33" s="63">
        <f>IF(OR(B33="",C33=""),"",COUNTIFS('📋 Data Pasien'!$B:$B,B33,'📋 Data Pasien'!$J:$J,C33,'📋 Data Pasien'!$D:$D,150000))</f>
        <v/>
      </c>
      <c r="F33" s="63">
        <f>IF(OR(B33="",C33=""),"",COUNTIFS('📋 Data Pasien'!$B:$B,B33,'📋 Data Pasien'!$J:$J,C33,'📋 Data Pasien'!$D:$D,200000))</f>
        <v/>
      </c>
      <c r="G33" s="63">
        <f>IF(OR(B33="",C33=""),"",COUNTIFS('📋 Data Pasien'!$B:$B,B33,'📋 Data Pasien'!$J:$J,C33,'📋 Data Pasien'!$D:$D,250000))</f>
        <v/>
      </c>
      <c r="H33" s="63">
        <f>IF(OR(B33="",C33=""),"",COUNTIFS('📋 Data Pasien'!$B:$B,B33,'📋 Data Pasien'!$J:$J,C33,'📋 Data Pasien'!$D:$D,300000))</f>
        <v/>
      </c>
      <c r="I33" s="64">
        <f>IF(C33="","",SUM(D33:H33))</f>
        <v/>
      </c>
      <c r="J33" s="65">
        <f>IF(C33="","",D33*100000)</f>
        <v/>
      </c>
      <c r="K33" s="65">
        <f>IF(C33="","",E33*150000)</f>
        <v/>
      </c>
      <c r="L33" s="65">
        <f>IF(C33="","",F33*200000)</f>
        <v/>
      </c>
      <c r="M33" s="65">
        <f>IF(C33="","",G33*250000)</f>
        <v/>
      </c>
      <c r="N33" s="65">
        <f>IF(C33="","",H33*300000)</f>
        <v/>
      </c>
      <c r="O33" s="66">
        <f>IF(C33="","",SUM(J33:N33))</f>
        <v/>
      </c>
      <c r="P33" s="67">
        <f>IF(C33="","",D33*70000+E33*105000+F33*130000+G33*155000+H33*180000)</f>
        <v/>
      </c>
      <c r="Q33" s="68" t="n"/>
      <c r="R33" s="69">
        <f>IF(C33="","",D33*30000+E33*45000+F33*70000+G33*95000+H33*120000)</f>
        <v/>
      </c>
    </row>
    <row r="34" ht="15" customHeight="1" s="314">
      <c r="A34" s="60">
        <f>IF(C34&lt;&gt;"",31,"")</f>
        <v/>
      </c>
      <c r="B34" s="73" t="n"/>
      <c r="C34" s="62" t="n"/>
      <c r="D34" s="63">
        <f>IF(OR(B34="",C34=""),"",COUNTIFS('📋 Data Pasien'!$B:$B,B34,'📋 Data Pasien'!$J:$J,C34,'📋 Data Pasien'!$D:$D,100000))</f>
        <v/>
      </c>
      <c r="E34" s="63">
        <f>IF(OR(B34="",C34=""),"",COUNTIFS('📋 Data Pasien'!$B:$B,B34,'📋 Data Pasien'!$J:$J,C34,'📋 Data Pasien'!$D:$D,150000))</f>
        <v/>
      </c>
      <c r="F34" s="63">
        <f>IF(OR(B34="",C34=""),"",COUNTIFS('📋 Data Pasien'!$B:$B,B34,'📋 Data Pasien'!$J:$J,C34,'📋 Data Pasien'!$D:$D,200000))</f>
        <v/>
      </c>
      <c r="G34" s="63">
        <f>IF(OR(B34="",C34=""),"",COUNTIFS('📋 Data Pasien'!$B:$B,B34,'📋 Data Pasien'!$J:$J,C34,'📋 Data Pasien'!$D:$D,250000))</f>
        <v/>
      </c>
      <c r="H34" s="63">
        <f>IF(OR(B34="",C34=""),"",COUNTIFS('📋 Data Pasien'!$B:$B,B34,'📋 Data Pasien'!$J:$J,C34,'📋 Data Pasien'!$D:$D,300000))</f>
        <v/>
      </c>
      <c r="I34" s="64">
        <f>IF(C34="","",SUM(D34:H34))</f>
        <v/>
      </c>
      <c r="J34" s="65">
        <f>IF(C34="","",D34*100000)</f>
        <v/>
      </c>
      <c r="K34" s="65">
        <f>IF(C34="","",E34*150000)</f>
        <v/>
      </c>
      <c r="L34" s="65">
        <f>IF(C34="","",F34*200000)</f>
        <v/>
      </c>
      <c r="M34" s="65">
        <f>IF(C34="","",G34*250000)</f>
        <v/>
      </c>
      <c r="N34" s="65">
        <f>IF(C34="","",H34*300000)</f>
        <v/>
      </c>
      <c r="O34" s="66">
        <f>IF(C34="","",SUM(J34:N34))</f>
        <v/>
      </c>
      <c r="P34" s="67">
        <f>IF(C34="","",D34*70000+E34*105000+F34*130000+G34*155000+H34*180000)</f>
        <v/>
      </c>
      <c r="Q34" s="68" t="n"/>
      <c r="R34" s="69">
        <f>IF(C34="","",D34*30000+E34*45000+F34*70000+G34*95000+H34*120000)</f>
        <v/>
      </c>
    </row>
    <row r="35" ht="15" customHeight="1" s="314">
      <c r="A35" s="60">
        <f>IF(C35&lt;&gt;"",32,"")</f>
        <v/>
      </c>
      <c r="B35" s="73" t="n"/>
      <c r="C35" s="62" t="n"/>
      <c r="D35" s="63">
        <f>IF(OR(B35="",C35=""),"",COUNTIFS('📋 Data Pasien'!$B:$B,B35,'📋 Data Pasien'!$J:$J,C35,'📋 Data Pasien'!$D:$D,100000))</f>
        <v/>
      </c>
      <c r="E35" s="63">
        <f>IF(OR(B35="",C35=""),"",COUNTIFS('📋 Data Pasien'!$B:$B,B35,'📋 Data Pasien'!$J:$J,C35,'📋 Data Pasien'!$D:$D,150000))</f>
        <v/>
      </c>
      <c r="F35" s="63">
        <f>IF(OR(B35="",C35=""),"",COUNTIFS('📋 Data Pasien'!$B:$B,B35,'📋 Data Pasien'!$J:$J,C35,'📋 Data Pasien'!$D:$D,200000))</f>
        <v/>
      </c>
      <c r="G35" s="63">
        <f>IF(OR(B35="",C35=""),"",COUNTIFS('📋 Data Pasien'!$B:$B,B35,'📋 Data Pasien'!$J:$J,C35,'📋 Data Pasien'!$D:$D,250000))</f>
        <v/>
      </c>
      <c r="H35" s="63">
        <f>IF(OR(B35="",C35=""),"",COUNTIFS('📋 Data Pasien'!$B:$B,B35,'📋 Data Pasien'!$J:$J,C35,'📋 Data Pasien'!$D:$D,300000))</f>
        <v/>
      </c>
      <c r="I35" s="64">
        <f>IF(C35="","",SUM(D35:H35))</f>
        <v/>
      </c>
      <c r="J35" s="65">
        <f>IF(C35="","",D35*100000)</f>
        <v/>
      </c>
      <c r="K35" s="65">
        <f>IF(C35="","",E35*150000)</f>
        <v/>
      </c>
      <c r="L35" s="65">
        <f>IF(C35="","",F35*200000)</f>
        <v/>
      </c>
      <c r="M35" s="65">
        <f>IF(C35="","",G35*250000)</f>
        <v/>
      </c>
      <c r="N35" s="65">
        <f>IF(C35="","",H35*300000)</f>
        <v/>
      </c>
      <c r="O35" s="66">
        <f>IF(C35="","",SUM(J35:N35))</f>
        <v/>
      </c>
      <c r="P35" s="67">
        <f>IF(C35="","",D35*70000+E35*105000+F35*130000+G35*155000+H35*180000)</f>
        <v/>
      </c>
      <c r="Q35" s="68" t="n"/>
      <c r="R35" s="69">
        <f>IF(C35="","",D35*30000+E35*45000+F35*70000+G35*95000+H35*120000)</f>
        <v/>
      </c>
    </row>
    <row r="36" ht="15" customHeight="1" s="314">
      <c r="A36" s="60">
        <f>IF(C36&lt;&gt;"",33,"")</f>
        <v/>
      </c>
      <c r="B36" s="73" t="n"/>
      <c r="C36" s="62" t="n"/>
      <c r="D36" s="63">
        <f>IF(OR(B36="",C36=""),"",COUNTIFS('📋 Data Pasien'!$B:$B,B36,'📋 Data Pasien'!$J:$J,C36,'📋 Data Pasien'!$D:$D,100000))</f>
        <v/>
      </c>
      <c r="E36" s="63">
        <f>IF(OR(B36="",C36=""),"",COUNTIFS('📋 Data Pasien'!$B:$B,B36,'📋 Data Pasien'!$J:$J,C36,'📋 Data Pasien'!$D:$D,150000))</f>
        <v/>
      </c>
      <c r="F36" s="63">
        <f>IF(OR(B36="",C36=""),"",COUNTIFS('📋 Data Pasien'!$B:$B,B36,'📋 Data Pasien'!$J:$J,C36,'📋 Data Pasien'!$D:$D,200000))</f>
        <v/>
      </c>
      <c r="G36" s="63">
        <f>IF(OR(B36="",C36=""),"",COUNTIFS('📋 Data Pasien'!$B:$B,B36,'📋 Data Pasien'!$J:$J,C36,'📋 Data Pasien'!$D:$D,250000))</f>
        <v/>
      </c>
      <c r="H36" s="63">
        <f>IF(OR(B36="",C36=""),"",COUNTIFS('📋 Data Pasien'!$B:$B,B36,'📋 Data Pasien'!$J:$J,C36,'📋 Data Pasien'!$D:$D,300000))</f>
        <v/>
      </c>
      <c r="I36" s="64">
        <f>IF(C36="","",SUM(D36:H36))</f>
        <v/>
      </c>
      <c r="J36" s="65">
        <f>IF(C36="","",D36*100000)</f>
        <v/>
      </c>
      <c r="K36" s="65">
        <f>IF(C36="","",E36*150000)</f>
        <v/>
      </c>
      <c r="L36" s="65">
        <f>IF(C36="","",F36*200000)</f>
        <v/>
      </c>
      <c r="M36" s="65">
        <f>IF(C36="","",G36*250000)</f>
        <v/>
      </c>
      <c r="N36" s="65">
        <f>IF(C36="","",H36*300000)</f>
        <v/>
      </c>
      <c r="O36" s="66">
        <f>IF(C36="","",SUM(J36:N36))</f>
        <v/>
      </c>
      <c r="P36" s="67">
        <f>IF(C36="","",D36*70000+E36*105000+F36*130000+G36*155000+H36*180000)</f>
        <v/>
      </c>
      <c r="Q36" s="68" t="n"/>
      <c r="R36" s="69">
        <f>IF(C36="","",D36*30000+E36*45000+F36*70000+G36*95000+H36*120000)</f>
        <v/>
      </c>
    </row>
    <row r="37" ht="15" customHeight="1" s="314">
      <c r="A37" s="60">
        <f>IF(C37&lt;&gt;"",34,"")</f>
        <v/>
      </c>
      <c r="B37" s="73" t="n"/>
      <c r="C37" s="62" t="n"/>
      <c r="D37" s="63">
        <f>IF(OR(B37="",C37=""),"",COUNTIFS('📋 Data Pasien'!$B:$B,B37,'📋 Data Pasien'!$J:$J,C37,'📋 Data Pasien'!$D:$D,100000))</f>
        <v/>
      </c>
      <c r="E37" s="63">
        <f>IF(OR(B37="",C37=""),"",COUNTIFS('📋 Data Pasien'!$B:$B,B37,'📋 Data Pasien'!$J:$J,C37,'📋 Data Pasien'!$D:$D,150000))</f>
        <v/>
      </c>
      <c r="F37" s="63">
        <f>IF(OR(B37="",C37=""),"",COUNTIFS('📋 Data Pasien'!$B:$B,B37,'📋 Data Pasien'!$J:$J,C37,'📋 Data Pasien'!$D:$D,200000))</f>
        <v/>
      </c>
      <c r="G37" s="63">
        <f>IF(OR(B37="",C37=""),"",COUNTIFS('📋 Data Pasien'!$B:$B,B37,'📋 Data Pasien'!$J:$J,C37,'📋 Data Pasien'!$D:$D,250000))</f>
        <v/>
      </c>
      <c r="H37" s="63">
        <f>IF(OR(B37="",C37=""),"",COUNTIFS('📋 Data Pasien'!$B:$B,B37,'📋 Data Pasien'!$J:$J,C37,'📋 Data Pasien'!$D:$D,300000))</f>
        <v/>
      </c>
      <c r="I37" s="64">
        <f>IF(C37="","",SUM(D37:H37))</f>
        <v/>
      </c>
      <c r="J37" s="65">
        <f>IF(C37="","",D37*100000)</f>
        <v/>
      </c>
      <c r="K37" s="65">
        <f>IF(C37="","",E37*150000)</f>
        <v/>
      </c>
      <c r="L37" s="65">
        <f>IF(C37="","",F37*200000)</f>
        <v/>
      </c>
      <c r="M37" s="65">
        <f>IF(C37="","",G37*250000)</f>
        <v/>
      </c>
      <c r="N37" s="65">
        <f>IF(C37="","",H37*300000)</f>
        <v/>
      </c>
      <c r="O37" s="66">
        <f>IF(C37="","",SUM(J37:N37))</f>
        <v/>
      </c>
      <c r="P37" s="67">
        <f>IF(C37="","",D37*70000+E37*105000+F37*130000+G37*155000+H37*180000)</f>
        <v/>
      </c>
      <c r="Q37" s="68" t="n"/>
      <c r="R37" s="69">
        <f>IF(C37="","",D37*30000+E37*45000+F37*70000+G37*95000+H37*120000)</f>
        <v/>
      </c>
    </row>
    <row r="38" ht="15" customHeight="1" s="314">
      <c r="A38" s="60">
        <f>IF(C38&lt;&gt;"",35,"")</f>
        <v/>
      </c>
      <c r="B38" s="73" t="n"/>
      <c r="C38" s="62" t="n"/>
      <c r="D38" s="63">
        <f>IF(OR(B38="",C38=""),"",COUNTIFS('📋 Data Pasien'!$B:$B,B38,'📋 Data Pasien'!$J:$J,C38,'📋 Data Pasien'!$D:$D,100000))</f>
        <v/>
      </c>
      <c r="E38" s="63">
        <f>IF(OR(B38="",C38=""),"",COUNTIFS('📋 Data Pasien'!$B:$B,B38,'📋 Data Pasien'!$J:$J,C38,'📋 Data Pasien'!$D:$D,150000))</f>
        <v/>
      </c>
      <c r="F38" s="63">
        <f>IF(OR(B38="",C38=""),"",COUNTIFS('📋 Data Pasien'!$B:$B,B38,'📋 Data Pasien'!$J:$J,C38,'📋 Data Pasien'!$D:$D,200000))</f>
        <v/>
      </c>
      <c r="G38" s="63">
        <f>IF(OR(B38="",C38=""),"",COUNTIFS('📋 Data Pasien'!$B:$B,B38,'📋 Data Pasien'!$J:$J,C38,'📋 Data Pasien'!$D:$D,250000))</f>
        <v/>
      </c>
      <c r="H38" s="63">
        <f>IF(OR(B38="",C38=""),"",COUNTIFS('📋 Data Pasien'!$B:$B,B38,'📋 Data Pasien'!$J:$J,C38,'📋 Data Pasien'!$D:$D,300000))</f>
        <v/>
      </c>
      <c r="I38" s="64">
        <f>IF(C38="","",SUM(D38:H38))</f>
        <v/>
      </c>
      <c r="J38" s="65">
        <f>IF(C38="","",D38*100000)</f>
        <v/>
      </c>
      <c r="K38" s="65">
        <f>IF(C38="","",E38*150000)</f>
        <v/>
      </c>
      <c r="L38" s="65">
        <f>IF(C38="","",F38*200000)</f>
        <v/>
      </c>
      <c r="M38" s="65">
        <f>IF(C38="","",G38*250000)</f>
        <v/>
      </c>
      <c r="N38" s="65">
        <f>IF(C38="","",H38*300000)</f>
        <v/>
      </c>
      <c r="O38" s="66">
        <f>IF(C38="","",SUM(J38:N38))</f>
        <v/>
      </c>
      <c r="P38" s="67">
        <f>IF(C38="","",D38*70000+E38*105000+F38*130000+G38*155000+H38*180000)</f>
        <v/>
      </c>
      <c r="Q38" s="68" t="n"/>
      <c r="R38" s="69">
        <f>IF(C38="","",D38*30000+E38*45000+F38*70000+G38*95000+H38*120000)</f>
        <v/>
      </c>
    </row>
    <row r="39" ht="15" customHeight="1" s="314">
      <c r="A39" s="60">
        <f>IF(C39&lt;&gt;"",36,"")</f>
        <v/>
      </c>
      <c r="B39" s="73" t="n"/>
      <c r="C39" s="62" t="n"/>
      <c r="D39" s="63">
        <f>IF(OR(B39="",C39=""),"",COUNTIFS('📋 Data Pasien'!$B:$B,B39,'📋 Data Pasien'!$J:$J,C39,'📋 Data Pasien'!$D:$D,100000))</f>
        <v/>
      </c>
      <c r="E39" s="63">
        <f>IF(OR(B39="",C39=""),"",COUNTIFS('📋 Data Pasien'!$B:$B,B39,'📋 Data Pasien'!$J:$J,C39,'📋 Data Pasien'!$D:$D,150000))</f>
        <v/>
      </c>
      <c r="F39" s="63">
        <f>IF(OR(B39="",C39=""),"",COUNTIFS('📋 Data Pasien'!$B:$B,B39,'📋 Data Pasien'!$J:$J,C39,'📋 Data Pasien'!$D:$D,200000))</f>
        <v/>
      </c>
      <c r="G39" s="63">
        <f>IF(OR(B39="",C39=""),"",COUNTIFS('📋 Data Pasien'!$B:$B,B39,'📋 Data Pasien'!$J:$J,C39,'📋 Data Pasien'!$D:$D,250000))</f>
        <v/>
      </c>
      <c r="H39" s="63">
        <f>IF(OR(B39="",C39=""),"",COUNTIFS('📋 Data Pasien'!$B:$B,B39,'📋 Data Pasien'!$J:$J,C39,'📋 Data Pasien'!$D:$D,300000))</f>
        <v/>
      </c>
      <c r="I39" s="64">
        <f>IF(C39="","",SUM(D39:H39))</f>
        <v/>
      </c>
      <c r="J39" s="65">
        <f>IF(C39="","",D39*100000)</f>
        <v/>
      </c>
      <c r="K39" s="65">
        <f>IF(C39="","",E39*150000)</f>
        <v/>
      </c>
      <c r="L39" s="65">
        <f>IF(C39="","",F39*200000)</f>
        <v/>
      </c>
      <c r="M39" s="65">
        <f>IF(C39="","",G39*250000)</f>
        <v/>
      </c>
      <c r="N39" s="65">
        <f>IF(C39="","",H39*300000)</f>
        <v/>
      </c>
      <c r="O39" s="66">
        <f>IF(C39="","",SUM(J39:N39))</f>
        <v/>
      </c>
      <c r="P39" s="67">
        <f>IF(C39="","",D39*70000+E39*105000+F39*130000+G39*155000+H39*180000)</f>
        <v/>
      </c>
      <c r="Q39" s="68" t="n"/>
      <c r="R39" s="69">
        <f>IF(C39="","",D39*30000+E39*45000+F39*70000+G39*95000+H39*120000)</f>
        <v/>
      </c>
    </row>
    <row r="40" ht="15" customHeight="1" s="314">
      <c r="A40" s="60">
        <f>IF(C40&lt;&gt;"",37,"")</f>
        <v/>
      </c>
      <c r="B40" s="73" t="n"/>
      <c r="C40" s="62" t="n"/>
      <c r="D40" s="63">
        <f>IF(OR(B40="",C40=""),"",COUNTIFS('📋 Data Pasien'!$B:$B,B40,'📋 Data Pasien'!$J:$J,C40,'📋 Data Pasien'!$D:$D,100000))</f>
        <v/>
      </c>
      <c r="E40" s="63">
        <f>IF(OR(B40="",C40=""),"",COUNTIFS('📋 Data Pasien'!$B:$B,B40,'📋 Data Pasien'!$J:$J,C40,'📋 Data Pasien'!$D:$D,150000))</f>
        <v/>
      </c>
      <c r="F40" s="63">
        <f>IF(OR(B40="",C40=""),"",COUNTIFS('📋 Data Pasien'!$B:$B,B40,'📋 Data Pasien'!$J:$J,C40,'📋 Data Pasien'!$D:$D,200000))</f>
        <v/>
      </c>
      <c r="G40" s="63">
        <f>IF(OR(B40="",C40=""),"",COUNTIFS('📋 Data Pasien'!$B:$B,B40,'📋 Data Pasien'!$J:$J,C40,'📋 Data Pasien'!$D:$D,250000))</f>
        <v/>
      </c>
      <c r="H40" s="63">
        <f>IF(OR(B40="",C40=""),"",COUNTIFS('📋 Data Pasien'!$B:$B,B40,'📋 Data Pasien'!$J:$J,C40,'📋 Data Pasien'!$D:$D,300000))</f>
        <v/>
      </c>
      <c r="I40" s="64">
        <f>IF(C40="","",SUM(D40:H40))</f>
        <v/>
      </c>
      <c r="J40" s="65">
        <f>IF(C40="","",D40*100000)</f>
        <v/>
      </c>
      <c r="K40" s="65">
        <f>IF(C40="","",E40*150000)</f>
        <v/>
      </c>
      <c r="L40" s="65">
        <f>IF(C40="","",F40*200000)</f>
        <v/>
      </c>
      <c r="M40" s="65">
        <f>IF(C40="","",G40*250000)</f>
        <v/>
      </c>
      <c r="N40" s="65">
        <f>IF(C40="","",H40*300000)</f>
        <v/>
      </c>
      <c r="O40" s="66">
        <f>IF(C40="","",SUM(J40:N40))</f>
        <v/>
      </c>
      <c r="P40" s="67">
        <f>IF(C40="","",D40*70000+E40*105000+F40*130000+G40*155000+H40*180000)</f>
        <v/>
      </c>
      <c r="Q40" s="68" t="n"/>
      <c r="R40" s="69">
        <f>IF(C40="","",D40*30000+E40*45000+F40*70000+G40*95000+H40*120000)</f>
        <v/>
      </c>
    </row>
    <row r="41" ht="15" customHeight="1" s="314">
      <c r="A41" s="60">
        <f>IF(C41&lt;&gt;"",38,"")</f>
        <v/>
      </c>
      <c r="B41" s="73" t="n"/>
      <c r="C41" s="62" t="n"/>
      <c r="D41" s="63">
        <f>IF(OR(B41="",C41=""),"",COUNTIFS('📋 Data Pasien'!$B:$B,B41,'📋 Data Pasien'!$J:$J,C41,'📋 Data Pasien'!$D:$D,100000))</f>
        <v/>
      </c>
      <c r="E41" s="63">
        <f>IF(OR(B41="",C41=""),"",COUNTIFS('📋 Data Pasien'!$B:$B,B41,'📋 Data Pasien'!$J:$J,C41,'📋 Data Pasien'!$D:$D,150000))</f>
        <v/>
      </c>
      <c r="F41" s="63">
        <f>IF(OR(B41="",C41=""),"",COUNTIFS('📋 Data Pasien'!$B:$B,B41,'📋 Data Pasien'!$J:$J,C41,'📋 Data Pasien'!$D:$D,200000))</f>
        <v/>
      </c>
      <c r="G41" s="63">
        <f>IF(OR(B41="",C41=""),"",COUNTIFS('📋 Data Pasien'!$B:$B,B41,'📋 Data Pasien'!$J:$J,C41,'📋 Data Pasien'!$D:$D,250000))</f>
        <v/>
      </c>
      <c r="H41" s="63">
        <f>IF(OR(B41="",C41=""),"",COUNTIFS('📋 Data Pasien'!$B:$B,B41,'📋 Data Pasien'!$J:$J,C41,'📋 Data Pasien'!$D:$D,300000))</f>
        <v/>
      </c>
      <c r="I41" s="64">
        <f>IF(C41="","",SUM(D41:H41))</f>
        <v/>
      </c>
      <c r="J41" s="65">
        <f>IF(C41="","",D41*100000)</f>
        <v/>
      </c>
      <c r="K41" s="65">
        <f>IF(C41="","",E41*150000)</f>
        <v/>
      </c>
      <c r="L41" s="65">
        <f>IF(C41="","",F41*200000)</f>
        <v/>
      </c>
      <c r="M41" s="65">
        <f>IF(C41="","",G41*250000)</f>
        <v/>
      </c>
      <c r="N41" s="65">
        <f>IF(C41="","",H41*300000)</f>
        <v/>
      </c>
      <c r="O41" s="66">
        <f>IF(C41="","",SUM(J41:N41))</f>
        <v/>
      </c>
      <c r="P41" s="67">
        <f>IF(C41="","",D41*70000+E41*105000+F41*130000+G41*155000+H41*180000)</f>
        <v/>
      </c>
      <c r="Q41" s="68" t="n"/>
      <c r="R41" s="69">
        <f>IF(C41="","",D41*30000+E41*45000+F41*70000+G41*95000+H41*120000)</f>
        <v/>
      </c>
    </row>
    <row r="42" ht="15" customHeight="1" s="314">
      <c r="A42" s="60">
        <f>IF(C42&lt;&gt;"",39,"")</f>
        <v/>
      </c>
      <c r="B42" s="73" t="n"/>
      <c r="C42" s="62" t="n"/>
      <c r="D42" s="63">
        <f>IF(OR(B42="",C42=""),"",COUNTIFS('📋 Data Pasien'!$B:$B,B42,'📋 Data Pasien'!$J:$J,C42,'📋 Data Pasien'!$D:$D,100000))</f>
        <v/>
      </c>
      <c r="E42" s="63">
        <f>IF(OR(B42="",C42=""),"",COUNTIFS('📋 Data Pasien'!$B:$B,B42,'📋 Data Pasien'!$J:$J,C42,'📋 Data Pasien'!$D:$D,150000))</f>
        <v/>
      </c>
      <c r="F42" s="63">
        <f>IF(OR(B42="",C42=""),"",COUNTIFS('📋 Data Pasien'!$B:$B,B42,'📋 Data Pasien'!$J:$J,C42,'📋 Data Pasien'!$D:$D,200000))</f>
        <v/>
      </c>
      <c r="G42" s="63">
        <f>IF(OR(B42="",C42=""),"",COUNTIFS('📋 Data Pasien'!$B:$B,B42,'📋 Data Pasien'!$J:$J,C42,'📋 Data Pasien'!$D:$D,250000))</f>
        <v/>
      </c>
      <c r="H42" s="63">
        <f>IF(OR(B42="",C42=""),"",COUNTIFS('📋 Data Pasien'!$B:$B,B42,'📋 Data Pasien'!$J:$J,C42,'📋 Data Pasien'!$D:$D,300000))</f>
        <v/>
      </c>
      <c r="I42" s="64">
        <f>IF(C42="","",SUM(D42:H42))</f>
        <v/>
      </c>
      <c r="J42" s="65">
        <f>IF(C42="","",D42*100000)</f>
        <v/>
      </c>
      <c r="K42" s="65">
        <f>IF(C42="","",E42*150000)</f>
        <v/>
      </c>
      <c r="L42" s="65">
        <f>IF(C42="","",F42*200000)</f>
        <v/>
      </c>
      <c r="M42" s="65">
        <f>IF(C42="","",G42*250000)</f>
        <v/>
      </c>
      <c r="N42" s="65">
        <f>IF(C42="","",H42*300000)</f>
        <v/>
      </c>
      <c r="O42" s="66">
        <f>IF(C42="","",SUM(J42:N42))</f>
        <v/>
      </c>
      <c r="P42" s="67">
        <f>IF(C42="","",D42*70000+E42*105000+F42*130000+G42*155000+H42*180000)</f>
        <v/>
      </c>
      <c r="Q42" s="68" t="n"/>
      <c r="R42" s="69">
        <f>IF(C42="","",D42*30000+E42*45000+F42*70000+G42*95000+H42*120000)</f>
        <v/>
      </c>
    </row>
    <row r="43" ht="15" customHeight="1" s="314">
      <c r="A43" s="60">
        <f>IF(C43&lt;&gt;"",40,"")</f>
        <v/>
      </c>
      <c r="B43" s="73" t="n"/>
      <c r="C43" s="62" t="n"/>
      <c r="D43" s="63">
        <f>IF(OR(B43="",C43=""),"",COUNTIFS('📋 Data Pasien'!$B:$B,B43,'📋 Data Pasien'!$J:$J,C43,'📋 Data Pasien'!$D:$D,100000))</f>
        <v/>
      </c>
      <c r="E43" s="63">
        <f>IF(OR(B43="",C43=""),"",COUNTIFS('📋 Data Pasien'!$B:$B,B43,'📋 Data Pasien'!$J:$J,C43,'📋 Data Pasien'!$D:$D,150000))</f>
        <v/>
      </c>
      <c r="F43" s="63">
        <f>IF(OR(B43="",C43=""),"",COUNTIFS('📋 Data Pasien'!$B:$B,B43,'📋 Data Pasien'!$J:$J,C43,'📋 Data Pasien'!$D:$D,200000))</f>
        <v/>
      </c>
      <c r="G43" s="63">
        <f>IF(OR(B43="",C43=""),"",COUNTIFS('📋 Data Pasien'!$B:$B,B43,'📋 Data Pasien'!$J:$J,C43,'📋 Data Pasien'!$D:$D,250000))</f>
        <v/>
      </c>
      <c r="H43" s="63">
        <f>IF(OR(B43="",C43=""),"",COUNTIFS('📋 Data Pasien'!$B:$B,B43,'📋 Data Pasien'!$J:$J,C43,'📋 Data Pasien'!$D:$D,300000))</f>
        <v/>
      </c>
      <c r="I43" s="64">
        <f>IF(C43="","",SUM(D43:H43))</f>
        <v/>
      </c>
      <c r="J43" s="65">
        <f>IF(C43="","",D43*100000)</f>
        <v/>
      </c>
      <c r="K43" s="65">
        <f>IF(C43="","",E43*150000)</f>
        <v/>
      </c>
      <c r="L43" s="65">
        <f>IF(C43="","",F43*200000)</f>
        <v/>
      </c>
      <c r="M43" s="65">
        <f>IF(C43="","",G43*250000)</f>
        <v/>
      </c>
      <c r="N43" s="65">
        <f>IF(C43="","",H43*300000)</f>
        <v/>
      </c>
      <c r="O43" s="66">
        <f>IF(C43="","",SUM(J43:N43))</f>
        <v/>
      </c>
      <c r="P43" s="67">
        <f>IF(C43="","",D43*70000+E43*105000+F43*130000+G43*155000+H43*180000)</f>
        <v/>
      </c>
      <c r="Q43" s="68" t="n"/>
      <c r="R43" s="69">
        <f>IF(C43="","",D43*30000+E43*45000+F43*70000+G43*95000+H43*120000)</f>
        <v/>
      </c>
    </row>
    <row r="44" ht="15" customHeight="1" s="314">
      <c r="A44" s="60">
        <f>IF(C44&lt;&gt;"",41,"")</f>
        <v/>
      </c>
      <c r="B44" s="73" t="n"/>
      <c r="C44" s="62" t="n"/>
      <c r="D44" s="63">
        <f>IF(OR(B44="",C44=""),"",COUNTIFS('📋 Data Pasien'!$B:$B,B44,'📋 Data Pasien'!$J:$J,C44,'📋 Data Pasien'!$D:$D,100000))</f>
        <v/>
      </c>
      <c r="E44" s="63">
        <f>IF(OR(B44="",C44=""),"",COUNTIFS('📋 Data Pasien'!$B:$B,B44,'📋 Data Pasien'!$J:$J,C44,'📋 Data Pasien'!$D:$D,150000))</f>
        <v/>
      </c>
      <c r="F44" s="63">
        <f>IF(OR(B44="",C44=""),"",COUNTIFS('📋 Data Pasien'!$B:$B,B44,'📋 Data Pasien'!$J:$J,C44,'📋 Data Pasien'!$D:$D,200000))</f>
        <v/>
      </c>
      <c r="G44" s="63">
        <f>IF(OR(B44="",C44=""),"",COUNTIFS('📋 Data Pasien'!$B:$B,B44,'📋 Data Pasien'!$J:$J,C44,'📋 Data Pasien'!$D:$D,250000))</f>
        <v/>
      </c>
      <c r="H44" s="63">
        <f>IF(OR(B44="",C44=""),"",COUNTIFS('📋 Data Pasien'!$B:$B,B44,'📋 Data Pasien'!$J:$J,C44,'📋 Data Pasien'!$D:$D,300000))</f>
        <v/>
      </c>
      <c r="I44" s="64">
        <f>IF(C44="","",SUM(D44:H44))</f>
        <v/>
      </c>
      <c r="J44" s="65">
        <f>IF(C44="","",D44*100000)</f>
        <v/>
      </c>
      <c r="K44" s="65">
        <f>IF(C44="","",E44*150000)</f>
        <v/>
      </c>
      <c r="L44" s="65">
        <f>IF(C44="","",F44*200000)</f>
        <v/>
      </c>
      <c r="M44" s="65">
        <f>IF(C44="","",G44*250000)</f>
        <v/>
      </c>
      <c r="N44" s="65">
        <f>IF(C44="","",H44*300000)</f>
        <v/>
      </c>
      <c r="O44" s="66">
        <f>IF(C44="","",SUM(J44:N44))</f>
        <v/>
      </c>
      <c r="P44" s="67">
        <f>IF(C44="","",D44*70000+E44*105000+F44*130000+G44*155000+H44*180000)</f>
        <v/>
      </c>
      <c r="Q44" s="68" t="n"/>
      <c r="R44" s="69">
        <f>IF(C44="","",D44*30000+E44*45000+F44*70000+G44*95000+H44*120000)</f>
        <v/>
      </c>
    </row>
    <row r="45" ht="15" customHeight="1" s="314">
      <c r="A45" s="60">
        <f>IF(C45&lt;&gt;"",42,"")</f>
        <v/>
      </c>
      <c r="B45" s="73" t="n"/>
      <c r="C45" s="62" t="n"/>
      <c r="D45" s="63">
        <f>IF(OR(B45="",C45=""),"",COUNTIFS('📋 Data Pasien'!$B:$B,B45,'📋 Data Pasien'!$J:$J,C45,'📋 Data Pasien'!$D:$D,100000))</f>
        <v/>
      </c>
      <c r="E45" s="63">
        <f>IF(OR(B45="",C45=""),"",COUNTIFS('📋 Data Pasien'!$B:$B,B45,'📋 Data Pasien'!$J:$J,C45,'📋 Data Pasien'!$D:$D,150000))</f>
        <v/>
      </c>
      <c r="F45" s="63">
        <f>IF(OR(B45="",C45=""),"",COUNTIFS('📋 Data Pasien'!$B:$B,B45,'📋 Data Pasien'!$J:$J,C45,'📋 Data Pasien'!$D:$D,200000))</f>
        <v/>
      </c>
      <c r="G45" s="63">
        <f>IF(OR(B45="",C45=""),"",COUNTIFS('📋 Data Pasien'!$B:$B,B45,'📋 Data Pasien'!$J:$J,C45,'📋 Data Pasien'!$D:$D,250000))</f>
        <v/>
      </c>
      <c r="H45" s="63">
        <f>IF(OR(B45="",C45=""),"",COUNTIFS('📋 Data Pasien'!$B:$B,B45,'📋 Data Pasien'!$J:$J,C45,'📋 Data Pasien'!$D:$D,300000))</f>
        <v/>
      </c>
      <c r="I45" s="64">
        <f>IF(C45="","",SUM(D45:H45))</f>
        <v/>
      </c>
      <c r="J45" s="65">
        <f>IF(C45="","",D45*100000)</f>
        <v/>
      </c>
      <c r="K45" s="65">
        <f>IF(C45="","",E45*150000)</f>
        <v/>
      </c>
      <c r="L45" s="65">
        <f>IF(C45="","",F45*200000)</f>
        <v/>
      </c>
      <c r="M45" s="65">
        <f>IF(C45="","",G45*250000)</f>
        <v/>
      </c>
      <c r="N45" s="65">
        <f>IF(C45="","",H45*300000)</f>
        <v/>
      </c>
      <c r="O45" s="66">
        <f>IF(C45="","",SUM(J45:N45))</f>
        <v/>
      </c>
      <c r="P45" s="67">
        <f>IF(C45="","",D45*70000+E45*105000+F45*130000+G45*155000+H45*180000)</f>
        <v/>
      </c>
      <c r="Q45" s="68" t="n"/>
      <c r="R45" s="69">
        <f>IF(C45="","",D45*30000+E45*45000+F45*70000+G45*95000+H45*120000)</f>
        <v/>
      </c>
    </row>
    <row r="46" ht="15" customHeight="1" s="314">
      <c r="A46" s="60">
        <f>IF(C46&lt;&gt;"",43,"")</f>
        <v/>
      </c>
      <c r="B46" s="73" t="n"/>
      <c r="C46" s="62" t="n"/>
      <c r="D46" s="63">
        <f>IF(OR(B46="",C46=""),"",COUNTIFS('📋 Data Pasien'!$B:$B,B46,'📋 Data Pasien'!$J:$J,C46,'📋 Data Pasien'!$D:$D,100000))</f>
        <v/>
      </c>
      <c r="E46" s="63">
        <f>IF(OR(B46="",C46=""),"",COUNTIFS('📋 Data Pasien'!$B:$B,B46,'📋 Data Pasien'!$J:$J,C46,'📋 Data Pasien'!$D:$D,150000))</f>
        <v/>
      </c>
      <c r="F46" s="63">
        <f>IF(OR(B46="",C46=""),"",COUNTIFS('📋 Data Pasien'!$B:$B,B46,'📋 Data Pasien'!$J:$J,C46,'📋 Data Pasien'!$D:$D,200000))</f>
        <v/>
      </c>
      <c r="G46" s="63">
        <f>IF(OR(B46="",C46=""),"",COUNTIFS('📋 Data Pasien'!$B:$B,B46,'📋 Data Pasien'!$J:$J,C46,'📋 Data Pasien'!$D:$D,250000))</f>
        <v/>
      </c>
      <c r="H46" s="63">
        <f>IF(OR(B46="",C46=""),"",COUNTIFS('📋 Data Pasien'!$B:$B,B46,'📋 Data Pasien'!$J:$J,C46,'📋 Data Pasien'!$D:$D,300000))</f>
        <v/>
      </c>
      <c r="I46" s="64">
        <f>IF(C46="","",SUM(D46:H46))</f>
        <v/>
      </c>
      <c r="J46" s="65">
        <f>IF(C46="","",D46*100000)</f>
        <v/>
      </c>
      <c r="K46" s="65">
        <f>IF(C46="","",E46*150000)</f>
        <v/>
      </c>
      <c r="L46" s="65">
        <f>IF(C46="","",F46*200000)</f>
        <v/>
      </c>
      <c r="M46" s="65">
        <f>IF(C46="","",G46*250000)</f>
        <v/>
      </c>
      <c r="N46" s="65">
        <f>IF(C46="","",H46*300000)</f>
        <v/>
      </c>
      <c r="O46" s="66">
        <f>IF(C46="","",SUM(J46:N46))</f>
        <v/>
      </c>
      <c r="P46" s="67">
        <f>IF(C46="","",D46*70000+E46*105000+F46*130000+G46*155000+H46*180000)</f>
        <v/>
      </c>
      <c r="Q46" s="68" t="n"/>
      <c r="R46" s="69">
        <f>IF(C46="","",D46*30000+E46*45000+F46*70000+G46*95000+H46*120000)</f>
        <v/>
      </c>
    </row>
    <row r="47" ht="15" customHeight="1" s="314">
      <c r="A47" s="60">
        <f>IF(C47&lt;&gt;"",44,"")</f>
        <v/>
      </c>
      <c r="B47" s="73" t="n"/>
      <c r="C47" s="62" t="n"/>
      <c r="D47" s="63">
        <f>IF(OR(B47="",C47=""),"",COUNTIFS('📋 Data Pasien'!$B:$B,B47,'📋 Data Pasien'!$J:$J,C47,'📋 Data Pasien'!$D:$D,100000))</f>
        <v/>
      </c>
      <c r="E47" s="63">
        <f>IF(OR(B47="",C47=""),"",COUNTIFS('📋 Data Pasien'!$B:$B,B47,'📋 Data Pasien'!$J:$J,C47,'📋 Data Pasien'!$D:$D,150000))</f>
        <v/>
      </c>
      <c r="F47" s="63">
        <f>IF(OR(B47="",C47=""),"",COUNTIFS('📋 Data Pasien'!$B:$B,B47,'📋 Data Pasien'!$J:$J,C47,'📋 Data Pasien'!$D:$D,200000))</f>
        <v/>
      </c>
      <c r="G47" s="63">
        <f>IF(OR(B47="",C47=""),"",COUNTIFS('📋 Data Pasien'!$B:$B,B47,'📋 Data Pasien'!$J:$J,C47,'📋 Data Pasien'!$D:$D,250000))</f>
        <v/>
      </c>
      <c r="H47" s="63">
        <f>IF(OR(B47="",C47=""),"",COUNTIFS('📋 Data Pasien'!$B:$B,B47,'📋 Data Pasien'!$J:$J,C47,'📋 Data Pasien'!$D:$D,300000))</f>
        <v/>
      </c>
      <c r="I47" s="64">
        <f>IF(C47="","",SUM(D47:H47))</f>
        <v/>
      </c>
      <c r="J47" s="65">
        <f>IF(C47="","",D47*100000)</f>
        <v/>
      </c>
      <c r="K47" s="65">
        <f>IF(C47="","",E47*150000)</f>
        <v/>
      </c>
      <c r="L47" s="65">
        <f>IF(C47="","",F47*200000)</f>
        <v/>
      </c>
      <c r="M47" s="65">
        <f>IF(C47="","",G47*250000)</f>
        <v/>
      </c>
      <c r="N47" s="65">
        <f>IF(C47="","",H47*300000)</f>
        <v/>
      </c>
      <c r="O47" s="66">
        <f>IF(C47="","",SUM(J47:N47))</f>
        <v/>
      </c>
      <c r="P47" s="67">
        <f>IF(C47="","",D47*70000+E47*105000+F47*130000+G47*155000+H47*180000)</f>
        <v/>
      </c>
      <c r="Q47" s="68" t="n"/>
      <c r="R47" s="69">
        <f>IF(C47="","",D47*30000+E47*45000+F47*70000+G47*95000+H47*120000)</f>
        <v/>
      </c>
    </row>
    <row r="48" ht="15" customHeight="1" s="314">
      <c r="A48" s="60">
        <f>IF(C48&lt;&gt;"",45,"")</f>
        <v/>
      </c>
      <c r="B48" s="73" t="n"/>
      <c r="C48" s="62" t="n"/>
      <c r="D48" s="63">
        <f>IF(OR(B48="",C48=""),"",COUNTIFS('📋 Data Pasien'!$B:$B,B48,'📋 Data Pasien'!$J:$J,C48,'📋 Data Pasien'!$D:$D,100000))</f>
        <v/>
      </c>
      <c r="E48" s="63">
        <f>IF(OR(B48="",C48=""),"",COUNTIFS('📋 Data Pasien'!$B:$B,B48,'📋 Data Pasien'!$J:$J,C48,'📋 Data Pasien'!$D:$D,150000))</f>
        <v/>
      </c>
      <c r="F48" s="63">
        <f>IF(OR(B48="",C48=""),"",COUNTIFS('📋 Data Pasien'!$B:$B,B48,'📋 Data Pasien'!$J:$J,C48,'📋 Data Pasien'!$D:$D,200000))</f>
        <v/>
      </c>
      <c r="G48" s="63">
        <f>IF(OR(B48="",C48=""),"",COUNTIFS('📋 Data Pasien'!$B:$B,B48,'📋 Data Pasien'!$J:$J,C48,'📋 Data Pasien'!$D:$D,250000))</f>
        <v/>
      </c>
      <c r="H48" s="63">
        <f>IF(OR(B48="",C48=""),"",COUNTIFS('📋 Data Pasien'!$B:$B,B48,'📋 Data Pasien'!$J:$J,C48,'📋 Data Pasien'!$D:$D,300000))</f>
        <v/>
      </c>
      <c r="I48" s="64">
        <f>IF(C48="","",SUM(D48:H48))</f>
        <v/>
      </c>
      <c r="J48" s="65">
        <f>IF(C48="","",D48*100000)</f>
        <v/>
      </c>
      <c r="K48" s="65">
        <f>IF(C48="","",E48*150000)</f>
        <v/>
      </c>
      <c r="L48" s="65">
        <f>IF(C48="","",F48*200000)</f>
        <v/>
      </c>
      <c r="M48" s="65">
        <f>IF(C48="","",G48*250000)</f>
        <v/>
      </c>
      <c r="N48" s="65">
        <f>IF(C48="","",H48*300000)</f>
        <v/>
      </c>
      <c r="O48" s="66">
        <f>IF(C48="","",SUM(J48:N48))</f>
        <v/>
      </c>
      <c r="P48" s="67">
        <f>IF(C48="","",D48*70000+E48*105000+F48*130000+G48*155000+H48*180000)</f>
        <v/>
      </c>
      <c r="Q48" s="68" t="n"/>
      <c r="R48" s="69">
        <f>IF(C48="","",D48*30000+E48*45000+F48*70000+G48*95000+H48*120000)</f>
        <v/>
      </c>
    </row>
    <row r="49" ht="15" customHeight="1" s="314">
      <c r="A49" s="60">
        <f>IF(C49&lt;&gt;"",46,"")</f>
        <v/>
      </c>
      <c r="B49" s="73" t="n"/>
      <c r="C49" s="62" t="n"/>
      <c r="D49" s="63">
        <f>IF(OR(B49="",C49=""),"",COUNTIFS('📋 Data Pasien'!$B:$B,B49,'📋 Data Pasien'!$J:$J,C49,'📋 Data Pasien'!$D:$D,100000))</f>
        <v/>
      </c>
      <c r="E49" s="63">
        <f>IF(OR(B49="",C49=""),"",COUNTIFS('📋 Data Pasien'!$B:$B,B49,'📋 Data Pasien'!$J:$J,C49,'📋 Data Pasien'!$D:$D,150000))</f>
        <v/>
      </c>
      <c r="F49" s="63">
        <f>IF(OR(B49="",C49=""),"",COUNTIFS('📋 Data Pasien'!$B:$B,B49,'📋 Data Pasien'!$J:$J,C49,'📋 Data Pasien'!$D:$D,200000))</f>
        <v/>
      </c>
      <c r="G49" s="63">
        <f>IF(OR(B49="",C49=""),"",COUNTIFS('📋 Data Pasien'!$B:$B,B49,'📋 Data Pasien'!$J:$J,C49,'📋 Data Pasien'!$D:$D,250000))</f>
        <v/>
      </c>
      <c r="H49" s="63">
        <f>IF(OR(B49="",C49=""),"",COUNTIFS('📋 Data Pasien'!$B:$B,B49,'📋 Data Pasien'!$J:$J,C49,'📋 Data Pasien'!$D:$D,300000))</f>
        <v/>
      </c>
      <c r="I49" s="64">
        <f>IF(C49="","",SUM(D49:H49))</f>
        <v/>
      </c>
      <c r="J49" s="65">
        <f>IF(C49="","",D49*100000)</f>
        <v/>
      </c>
      <c r="K49" s="65">
        <f>IF(C49="","",E49*150000)</f>
        <v/>
      </c>
      <c r="L49" s="65">
        <f>IF(C49="","",F49*200000)</f>
        <v/>
      </c>
      <c r="M49" s="65">
        <f>IF(C49="","",G49*250000)</f>
        <v/>
      </c>
      <c r="N49" s="65">
        <f>IF(C49="","",H49*300000)</f>
        <v/>
      </c>
      <c r="O49" s="66">
        <f>IF(C49="","",SUM(J49:N49))</f>
        <v/>
      </c>
      <c r="P49" s="67">
        <f>IF(C49="","",D49*70000+E49*105000+F49*130000+G49*155000+H49*180000)</f>
        <v/>
      </c>
      <c r="Q49" s="68" t="n"/>
      <c r="R49" s="69">
        <f>IF(C49="","",D49*30000+E49*45000+F49*70000+G49*95000+H49*120000)</f>
        <v/>
      </c>
    </row>
    <row r="50" ht="15" customHeight="1" s="314">
      <c r="A50" s="60">
        <f>IF(C50&lt;&gt;"",47,"")</f>
        <v/>
      </c>
      <c r="B50" s="73" t="n"/>
      <c r="C50" s="62" t="n"/>
      <c r="D50" s="63">
        <f>IF(OR(B50="",C50=""),"",COUNTIFS('📋 Data Pasien'!$B:$B,B50,'📋 Data Pasien'!$J:$J,C50,'📋 Data Pasien'!$D:$D,100000))</f>
        <v/>
      </c>
      <c r="E50" s="63">
        <f>IF(OR(B50="",C50=""),"",COUNTIFS('📋 Data Pasien'!$B:$B,B50,'📋 Data Pasien'!$J:$J,C50,'📋 Data Pasien'!$D:$D,150000))</f>
        <v/>
      </c>
      <c r="F50" s="63">
        <f>IF(OR(B50="",C50=""),"",COUNTIFS('📋 Data Pasien'!$B:$B,B50,'📋 Data Pasien'!$J:$J,C50,'📋 Data Pasien'!$D:$D,200000))</f>
        <v/>
      </c>
      <c r="G50" s="63">
        <f>IF(OR(B50="",C50=""),"",COUNTIFS('📋 Data Pasien'!$B:$B,B50,'📋 Data Pasien'!$J:$J,C50,'📋 Data Pasien'!$D:$D,250000))</f>
        <v/>
      </c>
      <c r="H50" s="63">
        <f>IF(OR(B50="",C50=""),"",COUNTIFS('📋 Data Pasien'!$B:$B,B50,'📋 Data Pasien'!$J:$J,C50,'📋 Data Pasien'!$D:$D,300000))</f>
        <v/>
      </c>
      <c r="I50" s="64">
        <f>IF(C50="","",SUM(D50:H50))</f>
        <v/>
      </c>
      <c r="J50" s="65">
        <f>IF(C50="","",D50*100000)</f>
        <v/>
      </c>
      <c r="K50" s="65">
        <f>IF(C50="","",E50*150000)</f>
        <v/>
      </c>
      <c r="L50" s="65">
        <f>IF(C50="","",F50*200000)</f>
        <v/>
      </c>
      <c r="M50" s="65">
        <f>IF(C50="","",G50*250000)</f>
        <v/>
      </c>
      <c r="N50" s="65">
        <f>IF(C50="","",H50*300000)</f>
        <v/>
      </c>
      <c r="O50" s="66">
        <f>IF(C50="","",SUM(J50:N50))</f>
        <v/>
      </c>
      <c r="P50" s="67">
        <f>IF(C50="","",D50*70000+E50*105000+F50*130000+G50*155000+H50*180000)</f>
        <v/>
      </c>
      <c r="Q50" s="68" t="n"/>
      <c r="R50" s="69">
        <f>IF(C50="","",D50*30000+E50*45000+F50*70000+G50*95000+H50*120000)</f>
        <v/>
      </c>
    </row>
    <row r="51" ht="15" customHeight="1" s="314">
      <c r="A51" s="60">
        <f>IF(C51&lt;&gt;"",48,"")</f>
        <v/>
      </c>
      <c r="B51" s="73" t="n"/>
      <c r="C51" s="62" t="n"/>
      <c r="D51" s="63">
        <f>IF(OR(B51="",C51=""),"",COUNTIFS('📋 Data Pasien'!$B:$B,B51,'📋 Data Pasien'!$J:$J,C51,'📋 Data Pasien'!$D:$D,100000))</f>
        <v/>
      </c>
      <c r="E51" s="63">
        <f>IF(OR(B51="",C51=""),"",COUNTIFS('📋 Data Pasien'!$B:$B,B51,'📋 Data Pasien'!$J:$J,C51,'📋 Data Pasien'!$D:$D,150000))</f>
        <v/>
      </c>
      <c r="F51" s="63">
        <f>IF(OR(B51="",C51=""),"",COUNTIFS('📋 Data Pasien'!$B:$B,B51,'📋 Data Pasien'!$J:$J,C51,'📋 Data Pasien'!$D:$D,200000))</f>
        <v/>
      </c>
      <c r="G51" s="63">
        <f>IF(OR(B51="",C51=""),"",COUNTIFS('📋 Data Pasien'!$B:$B,B51,'📋 Data Pasien'!$J:$J,C51,'📋 Data Pasien'!$D:$D,250000))</f>
        <v/>
      </c>
      <c r="H51" s="63">
        <f>IF(OR(B51="",C51=""),"",COUNTIFS('📋 Data Pasien'!$B:$B,B51,'📋 Data Pasien'!$J:$J,C51,'📋 Data Pasien'!$D:$D,300000))</f>
        <v/>
      </c>
      <c r="I51" s="64">
        <f>IF(C51="","",SUM(D51:H51))</f>
        <v/>
      </c>
      <c r="J51" s="65">
        <f>IF(C51="","",D51*100000)</f>
        <v/>
      </c>
      <c r="K51" s="65">
        <f>IF(C51="","",E51*150000)</f>
        <v/>
      </c>
      <c r="L51" s="65">
        <f>IF(C51="","",F51*200000)</f>
        <v/>
      </c>
      <c r="M51" s="65">
        <f>IF(C51="","",G51*250000)</f>
        <v/>
      </c>
      <c r="N51" s="65">
        <f>IF(C51="","",H51*300000)</f>
        <v/>
      </c>
      <c r="O51" s="66">
        <f>IF(C51="","",SUM(J51:N51))</f>
        <v/>
      </c>
      <c r="P51" s="67">
        <f>IF(C51="","",D51*70000+E51*105000+F51*130000+G51*155000+H51*180000)</f>
        <v/>
      </c>
      <c r="Q51" s="68" t="n"/>
      <c r="R51" s="69">
        <f>IF(C51="","",D51*30000+E51*45000+F51*70000+G51*95000+H51*120000)</f>
        <v/>
      </c>
    </row>
    <row r="52" ht="15" customHeight="1" s="314">
      <c r="A52" s="60">
        <f>IF(C52&lt;&gt;"",49,"")</f>
        <v/>
      </c>
      <c r="B52" s="73" t="n"/>
      <c r="C52" s="62" t="n"/>
      <c r="D52" s="63">
        <f>IF(OR(B52="",C52=""),"",COUNTIFS('📋 Data Pasien'!$B:$B,B52,'📋 Data Pasien'!$J:$J,C52,'📋 Data Pasien'!$D:$D,100000))</f>
        <v/>
      </c>
      <c r="E52" s="63">
        <f>IF(OR(B52="",C52=""),"",COUNTIFS('📋 Data Pasien'!$B:$B,B52,'📋 Data Pasien'!$J:$J,C52,'📋 Data Pasien'!$D:$D,150000))</f>
        <v/>
      </c>
      <c r="F52" s="63">
        <f>IF(OR(B52="",C52=""),"",COUNTIFS('📋 Data Pasien'!$B:$B,B52,'📋 Data Pasien'!$J:$J,C52,'📋 Data Pasien'!$D:$D,200000))</f>
        <v/>
      </c>
      <c r="G52" s="63">
        <f>IF(OR(B52="",C52=""),"",COUNTIFS('📋 Data Pasien'!$B:$B,B52,'📋 Data Pasien'!$J:$J,C52,'📋 Data Pasien'!$D:$D,250000))</f>
        <v/>
      </c>
      <c r="H52" s="63">
        <f>IF(OR(B52="",C52=""),"",COUNTIFS('📋 Data Pasien'!$B:$B,B52,'📋 Data Pasien'!$J:$J,C52,'📋 Data Pasien'!$D:$D,300000))</f>
        <v/>
      </c>
      <c r="I52" s="64">
        <f>IF(C52="","",SUM(D52:H52))</f>
        <v/>
      </c>
      <c r="J52" s="65">
        <f>IF(C52="","",D52*100000)</f>
        <v/>
      </c>
      <c r="K52" s="65">
        <f>IF(C52="","",E52*150000)</f>
        <v/>
      </c>
      <c r="L52" s="65">
        <f>IF(C52="","",F52*200000)</f>
        <v/>
      </c>
      <c r="M52" s="65">
        <f>IF(C52="","",G52*250000)</f>
        <v/>
      </c>
      <c r="N52" s="65">
        <f>IF(C52="","",H52*300000)</f>
        <v/>
      </c>
      <c r="O52" s="66">
        <f>IF(C52="","",SUM(J52:N52))</f>
        <v/>
      </c>
      <c r="P52" s="67">
        <f>IF(C52="","",D52*70000+E52*105000+F52*130000+G52*155000+H52*180000)</f>
        <v/>
      </c>
      <c r="Q52" s="68" t="n"/>
      <c r="R52" s="69">
        <f>IF(C52="","",D52*30000+E52*45000+F52*70000+G52*95000+H52*120000)</f>
        <v/>
      </c>
    </row>
    <row r="53" ht="15" customHeight="1" s="314">
      <c r="A53" s="60">
        <f>IF(C53&lt;&gt;"",50,"")</f>
        <v/>
      </c>
      <c r="B53" s="73" t="n"/>
      <c r="C53" s="62" t="n"/>
      <c r="D53" s="63">
        <f>IF(OR(B53="",C53=""),"",COUNTIFS('📋 Data Pasien'!$B:$B,B53,'📋 Data Pasien'!$J:$J,C53,'📋 Data Pasien'!$D:$D,100000))</f>
        <v/>
      </c>
      <c r="E53" s="63">
        <f>IF(OR(B53="",C53=""),"",COUNTIFS('📋 Data Pasien'!$B:$B,B53,'📋 Data Pasien'!$J:$J,C53,'📋 Data Pasien'!$D:$D,150000))</f>
        <v/>
      </c>
      <c r="F53" s="63">
        <f>IF(OR(B53="",C53=""),"",COUNTIFS('📋 Data Pasien'!$B:$B,B53,'📋 Data Pasien'!$J:$J,C53,'📋 Data Pasien'!$D:$D,200000))</f>
        <v/>
      </c>
      <c r="G53" s="63">
        <f>IF(OR(B53="",C53=""),"",COUNTIFS('📋 Data Pasien'!$B:$B,B53,'📋 Data Pasien'!$J:$J,C53,'📋 Data Pasien'!$D:$D,250000))</f>
        <v/>
      </c>
      <c r="H53" s="63">
        <f>IF(OR(B53="",C53=""),"",COUNTIFS('📋 Data Pasien'!$B:$B,B53,'📋 Data Pasien'!$J:$J,C53,'📋 Data Pasien'!$D:$D,300000))</f>
        <v/>
      </c>
      <c r="I53" s="64">
        <f>IF(C53="","",SUM(D53:H53))</f>
        <v/>
      </c>
      <c r="J53" s="65">
        <f>IF(C53="","",D53*100000)</f>
        <v/>
      </c>
      <c r="K53" s="65">
        <f>IF(C53="","",E53*150000)</f>
        <v/>
      </c>
      <c r="L53" s="65">
        <f>IF(C53="","",F53*200000)</f>
        <v/>
      </c>
      <c r="M53" s="65">
        <f>IF(C53="","",G53*250000)</f>
        <v/>
      </c>
      <c r="N53" s="65">
        <f>IF(C53="","",H53*300000)</f>
        <v/>
      </c>
      <c r="O53" s="66">
        <f>IF(C53="","",SUM(J53:N53))</f>
        <v/>
      </c>
      <c r="P53" s="67">
        <f>IF(C53="","",D53*70000+E53*105000+F53*130000+G53*155000+H53*180000)</f>
        <v/>
      </c>
      <c r="Q53" s="68" t="n"/>
      <c r="R53" s="69">
        <f>IF(C53="","",D53*30000+E53*45000+F53*70000+G53*95000+H53*120000)</f>
        <v/>
      </c>
    </row>
    <row r="54" ht="15" customHeight="1" s="314">
      <c r="A54" s="60">
        <f>IF(C54&lt;&gt;"",51,"")</f>
        <v/>
      </c>
      <c r="B54" s="73" t="n"/>
      <c r="C54" s="62" t="n"/>
      <c r="D54" s="63">
        <f>IF(OR(B54="",C54=""),"",COUNTIFS('📋 Data Pasien'!$B:$B,B54,'📋 Data Pasien'!$J:$J,C54,'📋 Data Pasien'!$D:$D,100000))</f>
        <v/>
      </c>
      <c r="E54" s="63">
        <f>IF(OR(B54="",C54=""),"",COUNTIFS('📋 Data Pasien'!$B:$B,B54,'📋 Data Pasien'!$J:$J,C54,'📋 Data Pasien'!$D:$D,150000))</f>
        <v/>
      </c>
      <c r="F54" s="63">
        <f>IF(OR(B54="",C54=""),"",COUNTIFS('📋 Data Pasien'!$B:$B,B54,'📋 Data Pasien'!$J:$J,C54,'📋 Data Pasien'!$D:$D,200000))</f>
        <v/>
      </c>
      <c r="G54" s="63">
        <f>IF(OR(B54="",C54=""),"",COUNTIFS('📋 Data Pasien'!$B:$B,B54,'📋 Data Pasien'!$J:$J,C54,'📋 Data Pasien'!$D:$D,250000))</f>
        <v/>
      </c>
      <c r="H54" s="63">
        <f>IF(OR(B54="",C54=""),"",COUNTIFS('📋 Data Pasien'!$B:$B,B54,'📋 Data Pasien'!$J:$J,C54,'📋 Data Pasien'!$D:$D,300000))</f>
        <v/>
      </c>
      <c r="I54" s="64">
        <f>IF(C54="","",SUM(D54:H54))</f>
        <v/>
      </c>
      <c r="J54" s="65">
        <f>IF(C54="","",D54*100000)</f>
        <v/>
      </c>
      <c r="K54" s="65">
        <f>IF(C54="","",E54*150000)</f>
        <v/>
      </c>
      <c r="L54" s="65">
        <f>IF(C54="","",F54*200000)</f>
        <v/>
      </c>
      <c r="M54" s="65">
        <f>IF(C54="","",G54*250000)</f>
        <v/>
      </c>
      <c r="N54" s="65">
        <f>IF(C54="","",H54*300000)</f>
        <v/>
      </c>
      <c r="O54" s="66">
        <f>IF(C54="","",SUM(J54:N54))</f>
        <v/>
      </c>
      <c r="P54" s="67">
        <f>IF(C54="","",D54*70000+E54*105000+F54*130000+G54*155000+H54*180000)</f>
        <v/>
      </c>
      <c r="Q54" s="68" t="n"/>
      <c r="R54" s="69">
        <f>IF(C54="","",D54*30000+E54*45000+F54*70000+G54*95000+H54*120000)</f>
        <v/>
      </c>
    </row>
    <row r="55" ht="15" customHeight="1" s="314">
      <c r="A55" s="60">
        <f>IF(C55&lt;&gt;"",52,"")</f>
        <v/>
      </c>
      <c r="B55" s="73" t="n"/>
      <c r="C55" s="62" t="n"/>
      <c r="D55" s="63">
        <f>IF(OR(B55="",C55=""),"",COUNTIFS('📋 Data Pasien'!$B:$B,B55,'📋 Data Pasien'!$J:$J,C55,'📋 Data Pasien'!$D:$D,100000))</f>
        <v/>
      </c>
      <c r="E55" s="63">
        <f>IF(OR(B55="",C55=""),"",COUNTIFS('📋 Data Pasien'!$B:$B,B55,'📋 Data Pasien'!$J:$J,C55,'📋 Data Pasien'!$D:$D,150000))</f>
        <v/>
      </c>
      <c r="F55" s="63">
        <f>IF(OR(B55="",C55=""),"",COUNTIFS('📋 Data Pasien'!$B:$B,B55,'📋 Data Pasien'!$J:$J,C55,'📋 Data Pasien'!$D:$D,200000))</f>
        <v/>
      </c>
      <c r="G55" s="63">
        <f>IF(OR(B55="",C55=""),"",COUNTIFS('📋 Data Pasien'!$B:$B,B55,'📋 Data Pasien'!$J:$J,C55,'📋 Data Pasien'!$D:$D,250000))</f>
        <v/>
      </c>
      <c r="H55" s="63">
        <f>IF(OR(B55="",C55=""),"",COUNTIFS('📋 Data Pasien'!$B:$B,B55,'📋 Data Pasien'!$J:$J,C55,'📋 Data Pasien'!$D:$D,300000))</f>
        <v/>
      </c>
      <c r="I55" s="64">
        <f>IF(C55="","",SUM(D55:H55))</f>
        <v/>
      </c>
      <c r="J55" s="65">
        <f>IF(C55="","",D55*100000)</f>
        <v/>
      </c>
      <c r="K55" s="65">
        <f>IF(C55="","",E55*150000)</f>
        <v/>
      </c>
      <c r="L55" s="65">
        <f>IF(C55="","",F55*200000)</f>
        <v/>
      </c>
      <c r="M55" s="65">
        <f>IF(C55="","",G55*250000)</f>
        <v/>
      </c>
      <c r="N55" s="65">
        <f>IF(C55="","",H55*300000)</f>
        <v/>
      </c>
      <c r="O55" s="66">
        <f>IF(C55="","",SUM(J55:N55))</f>
        <v/>
      </c>
      <c r="P55" s="67">
        <f>IF(C55="","",D55*70000+E55*105000+F55*130000+G55*155000+H55*180000)</f>
        <v/>
      </c>
      <c r="Q55" s="68" t="n"/>
      <c r="R55" s="69">
        <f>IF(C55="","",D55*30000+E55*45000+F55*70000+G55*95000+H55*120000)</f>
        <v/>
      </c>
    </row>
    <row r="56" ht="15" customHeight="1" s="314">
      <c r="A56" s="60">
        <f>IF(C56&lt;&gt;"",53,"")</f>
        <v/>
      </c>
      <c r="B56" s="73" t="n"/>
      <c r="C56" s="62" t="n"/>
      <c r="D56" s="63">
        <f>IF(OR(B56="",C56=""),"",COUNTIFS('📋 Data Pasien'!$B:$B,B56,'📋 Data Pasien'!$J:$J,C56,'📋 Data Pasien'!$D:$D,100000))</f>
        <v/>
      </c>
      <c r="E56" s="63">
        <f>IF(OR(B56="",C56=""),"",COUNTIFS('📋 Data Pasien'!$B:$B,B56,'📋 Data Pasien'!$J:$J,C56,'📋 Data Pasien'!$D:$D,150000))</f>
        <v/>
      </c>
      <c r="F56" s="63">
        <f>IF(OR(B56="",C56=""),"",COUNTIFS('📋 Data Pasien'!$B:$B,B56,'📋 Data Pasien'!$J:$J,C56,'📋 Data Pasien'!$D:$D,200000))</f>
        <v/>
      </c>
      <c r="G56" s="63">
        <f>IF(OR(B56="",C56=""),"",COUNTIFS('📋 Data Pasien'!$B:$B,B56,'📋 Data Pasien'!$J:$J,C56,'📋 Data Pasien'!$D:$D,250000))</f>
        <v/>
      </c>
      <c r="H56" s="63">
        <f>IF(OR(B56="",C56=""),"",COUNTIFS('📋 Data Pasien'!$B:$B,B56,'📋 Data Pasien'!$J:$J,C56,'📋 Data Pasien'!$D:$D,300000))</f>
        <v/>
      </c>
      <c r="I56" s="64">
        <f>IF(C56="","",SUM(D56:H56))</f>
        <v/>
      </c>
      <c r="J56" s="65">
        <f>IF(C56="","",D56*100000)</f>
        <v/>
      </c>
      <c r="K56" s="65">
        <f>IF(C56="","",E56*150000)</f>
        <v/>
      </c>
      <c r="L56" s="65">
        <f>IF(C56="","",F56*200000)</f>
        <v/>
      </c>
      <c r="M56" s="65">
        <f>IF(C56="","",G56*250000)</f>
        <v/>
      </c>
      <c r="N56" s="65">
        <f>IF(C56="","",H56*300000)</f>
        <v/>
      </c>
      <c r="O56" s="66">
        <f>IF(C56="","",SUM(J56:N56))</f>
        <v/>
      </c>
      <c r="P56" s="67">
        <f>IF(C56="","",D56*70000+E56*105000+F56*130000+G56*155000+H56*180000)</f>
        <v/>
      </c>
      <c r="Q56" s="68" t="n"/>
      <c r="R56" s="69">
        <f>IF(C56="","",D56*30000+E56*45000+F56*70000+G56*95000+H56*120000)</f>
        <v/>
      </c>
    </row>
    <row r="57" ht="15" customHeight="1" s="314">
      <c r="A57" s="60">
        <f>IF(C57&lt;&gt;"",54,"")</f>
        <v/>
      </c>
      <c r="B57" s="73" t="n"/>
      <c r="C57" s="62" t="n"/>
      <c r="D57" s="63">
        <f>IF(OR(B57="",C57=""),"",COUNTIFS('📋 Data Pasien'!$B:$B,B57,'📋 Data Pasien'!$J:$J,C57,'📋 Data Pasien'!$D:$D,100000))</f>
        <v/>
      </c>
      <c r="E57" s="63">
        <f>IF(OR(B57="",C57=""),"",COUNTIFS('📋 Data Pasien'!$B:$B,B57,'📋 Data Pasien'!$J:$J,C57,'📋 Data Pasien'!$D:$D,150000))</f>
        <v/>
      </c>
      <c r="F57" s="63">
        <f>IF(OR(B57="",C57=""),"",COUNTIFS('📋 Data Pasien'!$B:$B,B57,'📋 Data Pasien'!$J:$J,C57,'📋 Data Pasien'!$D:$D,200000))</f>
        <v/>
      </c>
      <c r="G57" s="63">
        <f>IF(OR(B57="",C57=""),"",COUNTIFS('📋 Data Pasien'!$B:$B,B57,'📋 Data Pasien'!$J:$J,C57,'📋 Data Pasien'!$D:$D,250000))</f>
        <v/>
      </c>
      <c r="H57" s="63">
        <f>IF(OR(B57="",C57=""),"",COUNTIFS('📋 Data Pasien'!$B:$B,B57,'📋 Data Pasien'!$J:$J,C57,'📋 Data Pasien'!$D:$D,300000))</f>
        <v/>
      </c>
      <c r="I57" s="64">
        <f>IF(C57="","",SUM(D57:H57))</f>
        <v/>
      </c>
      <c r="J57" s="65">
        <f>IF(C57="","",D57*100000)</f>
        <v/>
      </c>
      <c r="K57" s="65">
        <f>IF(C57="","",E57*150000)</f>
        <v/>
      </c>
      <c r="L57" s="65">
        <f>IF(C57="","",F57*200000)</f>
        <v/>
      </c>
      <c r="M57" s="65">
        <f>IF(C57="","",G57*250000)</f>
        <v/>
      </c>
      <c r="N57" s="65">
        <f>IF(C57="","",H57*300000)</f>
        <v/>
      </c>
      <c r="O57" s="66">
        <f>IF(C57="","",SUM(J57:N57))</f>
        <v/>
      </c>
      <c r="P57" s="67">
        <f>IF(C57="","",D57*70000+E57*105000+F57*130000+G57*155000+H57*180000)</f>
        <v/>
      </c>
      <c r="Q57" s="68" t="n"/>
      <c r="R57" s="69">
        <f>IF(C57="","",D57*30000+E57*45000+F57*70000+G57*95000+H57*120000)</f>
        <v/>
      </c>
    </row>
    <row r="58" ht="15" customHeight="1" s="314">
      <c r="A58" s="60">
        <f>IF(C58&lt;&gt;"",55,"")</f>
        <v/>
      </c>
      <c r="B58" s="73" t="n"/>
      <c r="C58" s="62" t="n"/>
      <c r="D58" s="63">
        <f>IF(OR(B58="",C58=""),"",COUNTIFS('📋 Data Pasien'!$B:$B,B58,'📋 Data Pasien'!$J:$J,C58,'📋 Data Pasien'!$D:$D,100000))</f>
        <v/>
      </c>
      <c r="E58" s="63">
        <f>IF(OR(B58="",C58=""),"",COUNTIFS('📋 Data Pasien'!$B:$B,B58,'📋 Data Pasien'!$J:$J,C58,'📋 Data Pasien'!$D:$D,150000))</f>
        <v/>
      </c>
      <c r="F58" s="63">
        <f>IF(OR(B58="",C58=""),"",COUNTIFS('📋 Data Pasien'!$B:$B,B58,'📋 Data Pasien'!$J:$J,C58,'📋 Data Pasien'!$D:$D,200000))</f>
        <v/>
      </c>
      <c r="G58" s="63">
        <f>IF(OR(B58="",C58=""),"",COUNTIFS('📋 Data Pasien'!$B:$B,B58,'📋 Data Pasien'!$J:$J,C58,'📋 Data Pasien'!$D:$D,250000))</f>
        <v/>
      </c>
      <c r="H58" s="63">
        <f>IF(OR(B58="",C58=""),"",COUNTIFS('📋 Data Pasien'!$B:$B,B58,'📋 Data Pasien'!$J:$J,C58,'📋 Data Pasien'!$D:$D,300000))</f>
        <v/>
      </c>
      <c r="I58" s="64">
        <f>IF(C58="","",SUM(D58:H58))</f>
        <v/>
      </c>
      <c r="J58" s="65">
        <f>IF(C58="","",D58*100000)</f>
        <v/>
      </c>
      <c r="K58" s="65">
        <f>IF(C58="","",E58*150000)</f>
        <v/>
      </c>
      <c r="L58" s="65">
        <f>IF(C58="","",F58*200000)</f>
        <v/>
      </c>
      <c r="M58" s="65">
        <f>IF(C58="","",G58*250000)</f>
        <v/>
      </c>
      <c r="N58" s="65">
        <f>IF(C58="","",H58*300000)</f>
        <v/>
      </c>
      <c r="O58" s="66">
        <f>IF(C58="","",SUM(J58:N58))</f>
        <v/>
      </c>
      <c r="P58" s="67">
        <f>IF(C58="","",D58*70000+E58*105000+F58*130000+G58*155000+H58*180000)</f>
        <v/>
      </c>
      <c r="Q58" s="68" t="n"/>
      <c r="R58" s="69">
        <f>IF(C58="","",D58*30000+E58*45000+F58*70000+G58*95000+H58*120000)</f>
        <v/>
      </c>
    </row>
    <row r="59" ht="15" customHeight="1" s="314">
      <c r="A59" s="60">
        <f>IF(C59&lt;&gt;"",56,"")</f>
        <v/>
      </c>
      <c r="B59" s="73" t="n"/>
      <c r="C59" s="62" t="n"/>
      <c r="D59" s="63">
        <f>IF(OR(B59="",C59=""),"",COUNTIFS('📋 Data Pasien'!$B:$B,B59,'📋 Data Pasien'!$J:$J,C59,'📋 Data Pasien'!$D:$D,100000))</f>
        <v/>
      </c>
      <c r="E59" s="63">
        <f>IF(OR(B59="",C59=""),"",COUNTIFS('📋 Data Pasien'!$B:$B,B59,'📋 Data Pasien'!$J:$J,C59,'📋 Data Pasien'!$D:$D,150000))</f>
        <v/>
      </c>
      <c r="F59" s="63">
        <f>IF(OR(B59="",C59=""),"",COUNTIFS('📋 Data Pasien'!$B:$B,B59,'📋 Data Pasien'!$J:$J,C59,'📋 Data Pasien'!$D:$D,200000))</f>
        <v/>
      </c>
      <c r="G59" s="63">
        <f>IF(OR(B59="",C59=""),"",COUNTIFS('📋 Data Pasien'!$B:$B,B59,'📋 Data Pasien'!$J:$J,C59,'📋 Data Pasien'!$D:$D,250000))</f>
        <v/>
      </c>
      <c r="H59" s="63">
        <f>IF(OR(B59="",C59=""),"",COUNTIFS('📋 Data Pasien'!$B:$B,B59,'📋 Data Pasien'!$J:$J,C59,'📋 Data Pasien'!$D:$D,300000))</f>
        <v/>
      </c>
      <c r="I59" s="64">
        <f>IF(C59="","",SUM(D59:H59))</f>
        <v/>
      </c>
      <c r="J59" s="65">
        <f>IF(C59="","",D59*100000)</f>
        <v/>
      </c>
      <c r="K59" s="65">
        <f>IF(C59="","",E59*150000)</f>
        <v/>
      </c>
      <c r="L59" s="65">
        <f>IF(C59="","",F59*200000)</f>
        <v/>
      </c>
      <c r="M59" s="65">
        <f>IF(C59="","",G59*250000)</f>
        <v/>
      </c>
      <c r="N59" s="65">
        <f>IF(C59="","",H59*300000)</f>
        <v/>
      </c>
      <c r="O59" s="66">
        <f>IF(C59="","",SUM(J59:N59))</f>
        <v/>
      </c>
      <c r="P59" s="67">
        <f>IF(C59="","",D59*70000+E59*105000+F59*130000+G59*155000+H59*180000)</f>
        <v/>
      </c>
      <c r="Q59" s="68" t="n"/>
      <c r="R59" s="69">
        <f>IF(C59="","",D59*30000+E59*45000+F59*70000+G59*95000+H59*120000)</f>
        <v/>
      </c>
    </row>
    <row r="60" ht="15" customHeight="1" s="314">
      <c r="A60" s="60">
        <f>IF(C60&lt;&gt;"",57,"")</f>
        <v/>
      </c>
      <c r="B60" s="73" t="n"/>
      <c r="C60" s="62" t="n"/>
      <c r="D60" s="63">
        <f>IF(OR(B60="",C60=""),"",COUNTIFS('📋 Data Pasien'!$B:$B,B60,'📋 Data Pasien'!$J:$J,C60,'📋 Data Pasien'!$D:$D,100000))</f>
        <v/>
      </c>
      <c r="E60" s="63">
        <f>IF(OR(B60="",C60=""),"",COUNTIFS('📋 Data Pasien'!$B:$B,B60,'📋 Data Pasien'!$J:$J,C60,'📋 Data Pasien'!$D:$D,150000))</f>
        <v/>
      </c>
      <c r="F60" s="63">
        <f>IF(OR(B60="",C60=""),"",COUNTIFS('📋 Data Pasien'!$B:$B,B60,'📋 Data Pasien'!$J:$J,C60,'📋 Data Pasien'!$D:$D,200000))</f>
        <v/>
      </c>
      <c r="G60" s="63">
        <f>IF(OR(B60="",C60=""),"",COUNTIFS('📋 Data Pasien'!$B:$B,B60,'📋 Data Pasien'!$J:$J,C60,'📋 Data Pasien'!$D:$D,250000))</f>
        <v/>
      </c>
      <c r="H60" s="63">
        <f>IF(OR(B60="",C60=""),"",COUNTIFS('📋 Data Pasien'!$B:$B,B60,'📋 Data Pasien'!$J:$J,C60,'📋 Data Pasien'!$D:$D,300000))</f>
        <v/>
      </c>
      <c r="I60" s="64">
        <f>IF(C60="","",SUM(D60:H60))</f>
        <v/>
      </c>
      <c r="J60" s="65">
        <f>IF(C60="","",D60*100000)</f>
        <v/>
      </c>
      <c r="K60" s="65">
        <f>IF(C60="","",E60*150000)</f>
        <v/>
      </c>
      <c r="L60" s="65">
        <f>IF(C60="","",F60*200000)</f>
        <v/>
      </c>
      <c r="M60" s="65">
        <f>IF(C60="","",G60*250000)</f>
        <v/>
      </c>
      <c r="N60" s="65">
        <f>IF(C60="","",H60*300000)</f>
        <v/>
      </c>
      <c r="O60" s="66">
        <f>IF(C60="","",SUM(J60:N60))</f>
        <v/>
      </c>
      <c r="P60" s="67">
        <f>IF(C60="","",D60*70000+E60*105000+F60*130000+G60*155000+H60*180000)</f>
        <v/>
      </c>
      <c r="Q60" s="68" t="n"/>
      <c r="R60" s="69">
        <f>IF(C60="","",D60*30000+E60*45000+F60*70000+G60*95000+H60*120000)</f>
        <v/>
      </c>
    </row>
    <row r="61" ht="15" customHeight="1" s="314">
      <c r="A61" s="60">
        <f>IF(C61&lt;&gt;"",58,"")</f>
        <v/>
      </c>
      <c r="B61" s="73" t="n"/>
      <c r="C61" s="62" t="n"/>
      <c r="D61" s="63">
        <f>IF(OR(B61="",C61=""),"",COUNTIFS('📋 Data Pasien'!$B:$B,B61,'📋 Data Pasien'!$J:$J,C61,'📋 Data Pasien'!$D:$D,100000))</f>
        <v/>
      </c>
      <c r="E61" s="63">
        <f>IF(OR(B61="",C61=""),"",COUNTIFS('📋 Data Pasien'!$B:$B,B61,'📋 Data Pasien'!$J:$J,C61,'📋 Data Pasien'!$D:$D,150000))</f>
        <v/>
      </c>
      <c r="F61" s="63">
        <f>IF(OR(B61="",C61=""),"",COUNTIFS('📋 Data Pasien'!$B:$B,B61,'📋 Data Pasien'!$J:$J,C61,'📋 Data Pasien'!$D:$D,200000))</f>
        <v/>
      </c>
      <c r="G61" s="63">
        <f>IF(OR(B61="",C61=""),"",COUNTIFS('📋 Data Pasien'!$B:$B,B61,'📋 Data Pasien'!$J:$J,C61,'📋 Data Pasien'!$D:$D,250000))</f>
        <v/>
      </c>
      <c r="H61" s="63">
        <f>IF(OR(B61="",C61=""),"",COUNTIFS('📋 Data Pasien'!$B:$B,B61,'📋 Data Pasien'!$J:$J,C61,'📋 Data Pasien'!$D:$D,300000))</f>
        <v/>
      </c>
      <c r="I61" s="64">
        <f>IF(C61="","",SUM(D61:H61))</f>
        <v/>
      </c>
      <c r="J61" s="65">
        <f>IF(C61="","",D61*100000)</f>
        <v/>
      </c>
      <c r="K61" s="65">
        <f>IF(C61="","",E61*150000)</f>
        <v/>
      </c>
      <c r="L61" s="65">
        <f>IF(C61="","",F61*200000)</f>
        <v/>
      </c>
      <c r="M61" s="65">
        <f>IF(C61="","",G61*250000)</f>
        <v/>
      </c>
      <c r="N61" s="65">
        <f>IF(C61="","",H61*300000)</f>
        <v/>
      </c>
      <c r="O61" s="66">
        <f>IF(C61="","",SUM(J61:N61))</f>
        <v/>
      </c>
      <c r="P61" s="67">
        <f>IF(C61="","",D61*70000+E61*105000+F61*130000+G61*155000+H61*180000)</f>
        <v/>
      </c>
      <c r="Q61" s="68" t="n"/>
      <c r="R61" s="69">
        <f>IF(C61="","",D61*30000+E61*45000+F61*70000+G61*95000+H61*120000)</f>
        <v/>
      </c>
    </row>
    <row r="62" ht="15" customHeight="1" s="314">
      <c r="A62" s="60">
        <f>IF(C62&lt;&gt;"",59,"")</f>
        <v/>
      </c>
      <c r="B62" s="73" t="n"/>
      <c r="C62" s="62" t="n"/>
      <c r="D62" s="63">
        <f>IF(OR(B62="",C62=""),"",COUNTIFS('📋 Data Pasien'!$B:$B,B62,'📋 Data Pasien'!$J:$J,C62,'📋 Data Pasien'!$D:$D,100000))</f>
        <v/>
      </c>
      <c r="E62" s="63">
        <f>IF(OR(B62="",C62=""),"",COUNTIFS('📋 Data Pasien'!$B:$B,B62,'📋 Data Pasien'!$J:$J,C62,'📋 Data Pasien'!$D:$D,150000))</f>
        <v/>
      </c>
      <c r="F62" s="63">
        <f>IF(OR(B62="",C62=""),"",COUNTIFS('📋 Data Pasien'!$B:$B,B62,'📋 Data Pasien'!$J:$J,C62,'📋 Data Pasien'!$D:$D,200000))</f>
        <v/>
      </c>
      <c r="G62" s="63">
        <f>IF(OR(B62="",C62=""),"",COUNTIFS('📋 Data Pasien'!$B:$B,B62,'📋 Data Pasien'!$J:$J,C62,'📋 Data Pasien'!$D:$D,250000))</f>
        <v/>
      </c>
      <c r="H62" s="63">
        <f>IF(OR(B62="",C62=""),"",COUNTIFS('📋 Data Pasien'!$B:$B,B62,'📋 Data Pasien'!$J:$J,C62,'📋 Data Pasien'!$D:$D,300000))</f>
        <v/>
      </c>
      <c r="I62" s="64">
        <f>IF(C62="","",SUM(D62:H62))</f>
        <v/>
      </c>
      <c r="J62" s="65">
        <f>IF(C62="","",D62*100000)</f>
        <v/>
      </c>
      <c r="K62" s="65">
        <f>IF(C62="","",E62*150000)</f>
        <v/>
      </c>
      <c r="L62" s="65">
        <f>IF(C62="","",F62*200000)</f>
        <v/>
      </c>
      <c r="M62" s="65">
        <f>IF(C62="","",G62*250000)</f>
        <v/>
      </c>
      <c r="N62" s="65">
        <f>IF(C62="","",H62*300000)</f>
        <v/>
      </c>
      <c r="O62" s="66">
        <f>IF(C62="","",SUM(J62:N62))</f>
        <v/>
      </c>
      <c r="P62" s="67">
        <f>IF(C62="","",D62*70000+E62*105000+F62*130000+G62*155000+H62*180000)</f>
        <v/>
      </c>
      <c r="Q62" s="68" t="n"/>
      <c r="R62" s="69">
        <f>IF(C62="","",D62*30000+E62*45000+F62*70000+G62*95000+H62*120000)</f>
        <v/>
      </c>
    </row>
    <row r="63" ht="15" customHeight="1" s="314">
      <c r="A63" s="60">
        <f>IF(C63&lt;&gt;"",60,"")</f>
        <v/>
      </c>
      <c r="B63" s="73" t="n"/>
      <c r="C63" s="62" t="n"/>
      <c r="D63" s="63">
        <f>IF(OR(B63="",C63=""),"",COUNTIFS('📋 Data Pasien'!$B:$B,B63,'📋 Data Pasien'!$J:$J,C63,'📋 Data Pasien'!$D:$D,100000))</f>
        <v/>
      </c>
      <c r="E63" s="63">
        <f>IF(OR(B63="",C63=""),"",COUNTIFS('📋 Data Pasien'!$B:$B,B63,'📋 Data Pasien'!$J:$J,C63,'📋 Data Pasien'!$D:$D,150000))</f>
        <v/>
      </c>
      <c r="F63" s="63">
        <f>IF(OR(B63="",C63=""),"",COUNTIFS('📋 Data Pasien'!$B:$B,B63,'📋 Data Pasien'!$J:$J,C63,'📋 Data Pasien'!$D:$D,200000))</f>
        <v/>
      </c>
      <c r="G63" s="63">
        <f>IF(OR(B63="",C63=""),"",COUNTIFS('📋 Data Pasien'!$B:$B,B63,'📋 Data Pasien'!$J:$J,C63,'📋 Data Pasien'!$D:$D,250000))</f>
        <v/>
      </c>
      <c r="H63" s="63">
        <f>IF(OR(B63="",C63=""),"",COUNTIFS('📋 Data Pasien'!$B:$B,B63,'📋 Data Pasien'!$J:$J,C63,'📋 Data Pasien'!$D:$D,300000))</f>
        <v/>
      </c>
      <c r="I63" s="64">
        <f>IF(C63="","",SUM(D63:H63))</f>
        <v/>
      </c>
      <c r="J63" s="65">
        <f>IF(C63="","",D63*100000)</f>
        <v/>
      </c>
      <c r="K63" s="65">
        <f>IF(C63="","",E63*150000)</f>
        <v/>
      </c>
      <c r="L63" s="65">
        <f>IF(C63="","",F63*200000)</f>
        <v/>
      </c>
      <c r="M63" s="65">
        <f>IF(C63="","",G63*250000)</f>
        <v/>
      </c>
      <c r="N63" s="65">
        <f>IF(C63="","",H63*300000)</f>
        <v/>
      </c>
      <c r="O63" s="66">
        <f>IF(C63="","",SUM(J63:N63))</f>
        <v/>
      </c>
      <c r="P63" s="67">
        <f>IF(C63="","",D63*70000+E63*105000+F63*130000+G63*155000+H63*180000)</f>
        <v/>
      </c>
      <c r="Q63" s="68" t="n"/>
      <c r="R63" s="69">
        <f>IF(C63="","",D63*30000+E63*45000+F63*70000+G63*95000+H63*120000)</f>
        <v/>
      </c>
    </row>
    <row r="64" ht="15" customHeight="1" s="314">
      <c r="A64" s="60">
        <f>IF(C64&lt;&gt;"",61,"")</f>
        <v/>
      </c>
      <c r="B64" s="73" t="n"/>
      <c r="C64" s="62" t="n"/>
      <c r="D64" s="63">
        <f>IF(OR(B64="",C64=""),"",COUNTIFS('📋 Data Pasien'!$B:$B,B64,'📋 Data Pasien'!$J:$J,C64,'📋 Data Pasien'!$D:$D,100000))</f>
        <v/>
      </c>
      <c r="E64" s="63">
        <f>IF(OR(B64="",C64=""),"",COUNTIFS('📋 Data Pasien'!$B:$B,B64,'📋 Data Pasien'!$J:$J,C64,'📋 Data Pasien'!$D:$D,150000))</f>
        <v/>
      </c>
      <c r="F64" s="63">
        <f>IF(OR(B64="",C64=""),"",COUNTIFS('📋 Data Pasien'!$B:$B,B64,'📋 Data Pasien'!$J:$J,C64,'📋 Data Pasien'!$D:$D,200000))</f>
        <v/>
      </c>
      <c r="G64" s="63">
        <f>IF(OR(B64="",C64=""),"",COUNTIFS('📋 Data Pasien'!$B:$B,B64,'📋 Data Pasien'!$J:$J,C64,'📋 Data Pasien'!$D:$D,250000))</f>
        <v/>
      </c>
      <c r="H64" s="63">
        <f>IF(OR(B64="",C64=""),"",COUNTIFS('📋 Data Pasien'!$B:$B,B64,'📋 Data Pasien'!$J:$J,C64,'📋 Data Pasien'!$D:$D,300000))</f>
        <v/>
      </c>
      <c r="I64" s="64">
        <f>IF(C64="","",SUM(D64:H64))</f>
        <v/>
      </c>
      <c r="J64" s="65">
        <f>IF(C64="","",D64*100000)</f>
        <v/>
      </c>
      <c r="K64" s="65">
        <f>IF(C64="","",E64*150000)</f>
        <v/>
      </c>
      <c r="L64" s="65">
        <f>IF(C64="","",F64*200000)</f>
        <v/>
      </c>
      <c r="M64" s="65">
        <f>IF(C64="","",G64*250000)</f>
        <v/>
      </c>
      <c r="N64" s="65">
        <f>IF(C64="","",H64*300000)</f>
        <v/>
      </c>
      <c r="O64" s="66">
        <f>IF(C64="","",SUM(J64:N64))</f>
        <v/>
      </c>
      <c r="P64" s="67">
        <f>IF(C64="","",D64*70000+E64*105000+F64*130000+G64*155000+H64*180000)</f>
        <v/>
      </c>
      <c r="Q64" s="68" t="n"/>
      <c r="R64" s="69">
        <f>IF(C64="","",D64*30000+E64*45000+F64*70000+G64*95000+H64*120000)</f>
        <v/>
      </c>
    </row>
    <row r="65" ht="15" customHeight="1" s="314">
      <c r="A65" s="60">
        <f>IF(C65&lt;&gt;"",62,"")</f>
        <v/>
      </c>
      <c r="B65" s="73" t="n"/>
      <c r="C65" s="62" t="n"/>
      <c r="D65" s="63">
        <f>IF(OR(B65="",C65=""),"",COUNTIFS('📋 Data Pasien'!$B:$B,B65,'📋 Data Pasien'!$J:$J,C65,'📋 Data Pasien'!$D:$D,100000))</f>
        <v/>
      </c>
      <c r="E65" s="63">
        <f>IF(OR(B65="",C65=""),"",COUNTIFS('📋 Data Pasien'!$B:$B,B65,'📋 Data Pasien'!$J:$J,C65,'📋 Data Pasien'!$D:$D,150000))</f>
        <v/>
      </c>
      <c r="F65" s="63">
        <f>IF(OR(B65="",C65=""),"",COUNTIFS('📋 Data Pasien'!$B:$B,B65,'📋 Data Pasien'!$J:$J,C65,'📋 Data Pasien'!$D:$D,200000))</f>
        <v/>
      </c>
      <c r="G65" s="63">
        <f>IF(OR(B65="",C65=""),"",COUNTIFS('📋 Data Pasien'!$B:$B,B65,'📋 Data Pasien'!$J:$J,C65,'📋 Data Pasien'!$D:$D,250000))</f>
        <v/>
      </c>
      <c r="H65" s="63">
        <f>IF(OR(B65="",C65=""),"",COUNTIFS('📋 Data Pasien'!$B:$B,B65,'📋 Data Pasien'!$J:$J,C65,'📋 Data Pasien'!$D:$D,300000))</f>
        <v/>
      </c>
      <c r="I65" s="64">
        <f>IF(C65="","",SUM(D65:H65))</f>
        <v/>
      </c>
      <c r="J65" s="65">
        <f>IF(C65="","",D65*100000)</f>
        <v/>
      </c>
      <c r="K65" s="65">
        <f>IF(C65="","",E65*150000)</f>
        <v/>
      </c>
      <c r="L65" s="65">
        <f>IF(C65="","",F65*200000)</f>
        <v/>
      </c>
      <c r="M65" s="65">
        <f>IF(C65="","",G65*250000)</f>
        <v/>
      </c>
      <c r="N65" s="65">
        <f>IF(C65="","",H65*300000)</f>
        <v/>
      </c>
      <c r="O65" s="66">
        <f>IF(C65="","",SUM(J65:N65))</f>
        <v/>
      </c>
      <c r="P65" s="67">
        <f>IF(C65="","",D65*70000+E65*105000+F65*130000+G65*155000+H65*180000)</f>
        <v/>
      </c>
      <c r="Q65" s="68" t="n"/>
      <c r="R65" s="69">
        <f>IF(C65="","",D65*30000+E65*45000+F65*70000+G65*95000+H65*120000)</f>
        <v/>
      </c>
    </row>
    <row r="66" ht="15" customHeight="1" s="314">
      <c r="A66" s="60">
        <f>IF(C66&lt;&gt;"",63,"")</f>
        <v/>
      </c>
      <c r="B66" s="73" t="n"/>
      <c r="C66" s="62" t="n"/>
      <c r="D66" s="63">
        <f>IF(OR(B66="",C66=""),"",COUNTIFS('📋 Data Pasien'!$B:$B,B66,'📋 Data Pasien'!$J:$J,C66,'📋 Data Pasien'!$D:$D,100000))</f>
        <v/>
      </c>
      <c r="E66" s="63">
        <f>IF(OR(B66="",C66=""),"",COUNTIFS('📋 Data Pasien'!$B:$B,B66,'📋 Data Pasien'!$J:$J,C66,'📋 Data Pasien'!$D:$D,150000))</f>
        <v/>
      </c>
      <c r="F66" s="63">
        <f>IF(OR(B66="",C66=""),"",COUNTIFS('📋 Data Pasien'!$B:$B,B66,'📋 Data Pasien'!$J:$J,C66,'📋 Data Pasien'!$D:$D,200000))</f>
        <v/>
      </c>
      <c r="G66" s="63">
        <f>IF(OR(B66="",C66=""),"",COUNTIFS('📋 Data Pasien'!$B:$B,B66,'📋 Data Pasien'!$J:$J,C66,'📋 Data Pasien'!$D:$D,250000))</f>
        <v/>
      </c>
      <c r="H66" s="63">
        <f>IF(OR(B66="",C66=""),"",COUNTIFS('📋 Data Pasien'!$B:$B,B66,'📋 Data Pasien'!$J:$J,C66,'📋 Data Pasien'!$D:$D,300000))</f>
        <v/>
      </c>
      <c r="I66" s="64">
        <f>IF(C66="","",SUM(D66:H66))</f>
        <v/>
      </c>
      <c r="J66" s="65">
        <f>IF(C66="","",D66*100000)</f>
        <v/>
      </c>
      <c r="K66" s="65">
        <f>IF(C66="","",E66*150000)</f>
        <v/>
      </c>
      <c r="L66" s="65">
        <f>IF(C66="","",F66*200000)</f>
        <v/>
      </c>
      <c r="M66" s="65">
        <f>IF(C66="","",G66*250000)</f>
        <v/>
      </c>
      <c r="N66" s="65">
        <f>IF(C66="","",H66*300000)</f>
        <v/>
      </c>
      <c r="O66" s="66">
        <f>IF(C66="","",SUM(J66:N66))</f>
        <v/>
      </c>
      <c r="P66" s="67">
        <f>IF(C66="","",D66*70000+E66*105000+F66*130000+G66*155000+H66*180000)</f>
        <v/>
      </c>
      <c r="Q66" s="68" t="n"/>
      <c r="R66" s="69">
        <f>IF(C66="","",D66*30000+E66*45000+F66*70000+G66*95000+H66*120000)</f>
        <v/>
      </c>
    </row>
    <row r="67" ht="15" customHeight="1" s="314">
      <c r="A67" s="60" t="inlineStr">
        <is>
          <t>TOTAL</t>
        </is>
      </c>
      <c r="B67" s="61" t="n"/>
      <c r="C67" s="62" t="n"/>
      <c r="D67" s="63">
        <f>IF(OR(B67="",C67=""),"",COUNTIFS('📋 Data Pasien'!$B:$B,B67,'📋 Data Pasien'!$J:$J,C67,'📋 Data Pasien'!$D:$D,100000))</f>
        <v/>
      </c>
      <c r="E67" s="63">
        <f>IF(OR(B67="",C67=""),"",COUNTIFS('📋 Data Pasien'!$B:$B,B67,'📋 Data Pasien'!$J:$J,C67,'📋 Data Pasien'!$D:$D,150000))</f>
        <v/>
      </c>
      <c r="F67" s="63">
        <f>IF(OR(B67="",C67=""),"",COUNTIFS('📋 Data Pasien'!$B:$B,B67,'📋 Data Pasien'!$J:$J,C67,'📋 Data Pasien'!$D:$D,200000))</f>
        <v/>
      </c>
      <c r="G67" s="63">
        <f>IF(OR(B67="",C67=""),"",COUNTIFS('📋 Data Pasien'!$B:$B,B67,'📋 Data Pasien'!$J:$J,C67,'📋 Data Pasien'!$D:$D,250000))</f>
        <v/>
      </c>
      <c r="H67" s="63">
        <f>IF(OR(B67="",C67=""),"",COUNTIFS('📋 Data Pasien'!$B:$B,B67,'📋 Data Pasien'!$J:$J,C67,'📋 Data Pasien'!$D:$D,300000))</f>
        <v/>
      </c>
      <c r="I67" s="64">
        <f>SUM(I4:I66)</f>
        <v/>
      </c>
      <c r="J67" s="65">
        <f>SUM(J4:J66)</f>
        <v/>
      </c>
      <c r="K67" s="65">
        <f>SUM(K4:K66)</f>
        <v/>
      </c>
      <c r="L67" s="65">
        <f>SUM(L4:L66)</f>
        <v/>
      </c>
      <c r="M67" s="65">
        <f>SUM(M4:M66)</f>
        <v/>
      </c>
      <c r="N67" s="65">
        <f>SUM(N4:N66)</f>
        <v/>
      </c>
      <c r="O67" s="66">
        <f>SUM(O4:O66)</f>
        <v/>
      </c>
      <c r="P67" s="67">
        <f>SUM(P4:P66)</f>
        <v/>
      </c>
      <c r="Q67" s="68" t="n"/>
      <c r="R67" s="69">
        <f>SUM(R4:R66)</f>
        <v/>
      </c>
    </row>
  </sheetData>
  <mergeCells count="2">
    <mergeCell ref="A2:R2"/>
    <mergeCell ref="A1:R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N10"/>
  <sheetViews>
    <sheetView zoomScaleNormal="100" workbookViewId="0">
      <pane ySplit="3" topLeftCell="A4" activePane="bottomLeft" state="frozen"/>
      <selection pane="bottomLeft" activeCell="N7" sqref="N7"/>
    </sheetView>
  </sheetViews>
  <sheetFormatPr baseColWidth="8" defaultColWidth="8.7109375" defaultRowHeight="15"/>
  <cols>
    <col width="16" customWidth="1" style="314" min="1" max="1"/>
    <col width="10" customWidth="1" style="314" min="2" max="2"/>
    <col width="9" customWidth="1" style="314" min="3" max="8"/>
    <col width="10.140625" customWidth="1" style="314" min="9" max="9"/>
    <col width="13" customWidth="1" style="314" min="10" max="10"/>
    <col width="19.5703125" customWidth="1" style="314" min="11" max="11"/>
    <col width="18" customWidth="1" style="314" min="12" max="12"/>
    <col width="16" customWidth="1" style="314" min="13" max="13"/>
    <col width="19" bestFit="1" customWidth="1" style="314" min="14" max="14"/>
  </cols>
  <sheetData>
    <row r="1" ht="25.5" customHeight="1" s="314">
      <c r="A1" s="259" t="inlineStr">
        <is>
          <t>REKAP FEE PER DOKTER — OTOMATIS dari Input Harian &amp; Pembayaran Dokter</t>
        </is>
      </c>
    </row>
    <row r="2" ht="34.5" customHeight="1" s="314">
      <c r="A2" s="260" t="inlineStr">
        <is>
          <t>🔄 Tambah baris di Input Harian → rekap ini update otomatis | Status bayar dari Pembayaran Dokter</t>
        </is>
      </c>
    </row>
    <row r="3" ht="31.5" customHeight="1" s="314">
      <c r="A3" s="74" t="inlineStr">
        <is>
          <t>Nama Dokter</t>
        </is>
      </c>
      <c r="B3" s="74" t="inlineStr">
        <is>
          <t>Total Hari
Praktek</t>
        </is>
      </c>
      <c r="C3" s="74" t="inlineStr">
        <is>
          <t>Pasien
100rb</t>
        </is>
      </c>
      <c r="D3" s="74" t="inlineStr">
        <is>
          <t>Pasien
150rb</t>
        </is>
      </c>
      <c r="E3" s="74" t="inlineStr">
        <is>
          <t>Pasien
200rb</t>
        </is>
      </c>
      <c r="F3" s="74" t="inlineStr">
        <is>
          <t>Pasien
250rb</t>
        </is>
      </c>
      <c r="G3" s="74" t="inlineStr">
        <is>
          <t>Pasien
300rb</t>
        </is>
      </c>
      <c r="H3" s="74" t="inlineStr">
        <is>
          <t>Total
Pasien</t>
        </is>
      </c>
      <c r="I3" s="75" t="inlineStr">
        <is>
          <t>Fee Dokter
(Rp)</t>
        </is>
      </c>
      <c r="J3" s="74" t="inlineStr">
        <is>
          <t>Fee Klinik
(Rp)</t>
        </is>
      </c>
      <c r="K3" s="74" t="inlineStr">
        <is>
          <t>Status
Pembayaran</t>
        </is>
      </c>
      <c r="L3" s="74" t="inlineStr">
        <is>
          <t>Sudah Dibayar
(Rp)</t>
        </is>
      </c>
      <c r="M3" s="74" t="inlineStr">
        <is>
          <t>Sisa Belum
Dibayar (Rp)</t>
        </is>
      </c>
      <c r="N3" s="74" t="inlineStr">
        <is>
          <t>KETERANGAN</t>
        </is>
      </c>
    </row>
    <row r="4" ht="15" customHeight="1" s="314">
      <c r="A4" s="76" t="inlineStr">
        <is>
          <t>dr. ARIF</t>
        </is>
      </c>
      <c r="B4" s="77">
        <f>COUNTIF('Input Harian'!$C:$C,"dr. ARIF")</f>
        <v/>
      </c>
      <c r="C4" s="77">
        <f>SUMIF('Input Harian'!$C:$C,"dr. ARIF",'Input Harian'!$D:$D)</f>
        <v/>
      </c>
      <c r="D4" s="77">
        <f>SUMIF('Input Harian'!$C:$C,"dr. ARIF",'Input Harian'!$E:$E)</f>
        <v/>
      </c>
      <c r="E4" s="77">
        <f>SUMIF('Input Harian'!$C:$C,"dr. ARIF",'Input Harian'!$F:$F)</f>
        <v/>
      </c>
      <c r="F4" s="77">
        <f>SUMIF('Input Harian'!$C:$C,"dr. ARIF",'Input Harian'!$G:$G)</f>
        <v/>
      </c>
      <c r="G4" s="77">
        <f>SUMIF('Input Harian'!$C:$C,"dr. ARIF",'Input Harian'!$H:$H)</f>
        <v/>
      </c>
      <c r="H4" s="76">
        <f>SUM(C4:G4)</f>
        <v/>
      </c>
      <c r="I4" s="78">
        <f>SUMIF('Input Harian'!$C:$C,"dr. ARIF",'Input Harian'!$P:$P)</f>
        <v/>
      </c>
      <c r="J4" s="79">
        <f>SUMIF('Input Harian'!$C:$C,"dr. ARIF",'Input Harian'!$R:$R)</f>
        <v/>
      </c>
      <c r="K4" s="77">
        <f>'💰 Pembayaran Dokter'!E6</f>
        <v/>
      </c>
      <c r="L4" s="80">
        <f>'💰 Pembayaran Dokter'!C6</f>
        <v/>
      </c>
      <c r="M4" s="81">
        <f>I4-L4</f>
        <v/>
      </c>
      <c r="N4" s="109" t="inlineStr">
        <is>
          <t>guarantee fee 200rb</t>
        </is>
      </c>
    </row>
    <row r="5" ht="15" customHeight="1" s="314">
      <c r="A5" s="82" t="inlineStr">
        <is>
          <t>dr. HAWA</t>
        </is>
      </c>
      <c r="B5" s="83">
        <f>COUNTIF('Input Harian'!$C:$C,"dr. HAWA")</f>
        <v/>
      </c>
      <c r="C5" s="83">
        <f>SUMIF('Input Harian'!$C:$C,"dr. HAWA",'Input Harian'!$D:$D)</f>
        <v/>
      </c>
      <c r="D5" s="83">
        <f>SUMIF('Input Harian'!$C:$C,"dr. HAWA",'Input Harian'!$E:$E)</f>
        <v/>
      </c>
      <c r="E5" s="83">
        <f>SUMIF('Input Harian'!$C:$C,"dr. HAWA",'Input Harian'!$F:$F)</f>
        <v/>
      </c>
      <c r="F5" s="83">
        <f>SUMIF('Input Harian'!$C:$C,"dr. HAWA",'Input Harian'!$G:$G)</f>
        <v/>
      </c>
      <c r="G5" s="83">
        <f>SUMIF('Input Harian'!$C:$C,"dr. HAWA",'Input Harian'!$H:$H)</f>
        <v/>
      </c>
      <c r="H5" s="82">
        <f>SUM(C5:G5)</f>
        <v/>
      </c>
      <c r="I5" s="78">
        <f>SUMIF('Input Harian'!$C:$C,"dr. HAWA",'Input Harian'!$P:$P)</f>
        <v/>
      </c>
      <c r="J5" s="84">
        <f>SUMIF('Input Harian'!$C:$C,"dr. HAWA",'Input Harian'!$R:$R)</f>
        <v/>
      </c>
      <c r="K5" s="83">
        <f>'💰 Pembayaran Dokter'!E7</f>
        <v/>
      </c>
      <c r="L5" s="85">
        <f>'💰 Pembayaran Dokter'!C7</f>
        <v/>
      </c>
      <c r="M5" s="86">
        <f>I5-L5</f>
        <v/>
      </c>
    </row>
    <row r="6" ht="19.5" customHeight="1" s="314">
      <c r="A6" s="87" t="inlineStr">
        <is>
          <t>dr. JOJO</t>
        </is>
      </c>
      <c r="B6" s="88">
        <f>COUNTIF('Input Harian'!$C:$C,"dr. JOJO")</f>
        <v/>
      </c>
      <c r="C6" s="88">
        <f>SUMIF('Input Harian'!$C:$C,"dr. JOJO",'Input Harian'!$D:$D)</f>
        <v/>
      </c>
      <c r="D6" s="88">
        <f>SUMIF('Input Harian'!$C:$C,"dr. JOJO",'Input Harian'!$E:$E)</f>
        <v/>
      </c>
      <c r="E6" s="88">
        <f>SUMIF('Input Harian'!$C:$C,"dr. JOJO",'Input Harian'!$F:$F)</f>
        <v/>
      </c>
      <c r="F6" s="88">
        <f>SUMIF('Input Harian'!$C:$C,"dr. JOJO",'Input Harian'!$G:$G)</f>
        <v/>
      </c>
      <c r="G6" s="88">
        <f>SUMIF('Input Harian'!$C:$C,"dr. JOJO",'Input Harian'!$H:$H)</f>
        <v/>
      </c>
      <c r="H6" s="87">
        <f>SUM(C6:G6)</f>
        <v/>
      </c>
      <c r="I6" s="78">
        <f>SUMIF('Input Harian'!$C:$C,"dr. JOJO",'Input Harian'!$P:$P)</f>
        <v/>
      </c>
      <c r="J6" s="89">
        <f>SUMIF('Input Harian'!$C:$C,"dr. JOJO",'Input Harian'!$R:$R)</f>
        <v/>
      </c>
      <c r="K6" s="88">
        <f>'💰 Pembayaran Dokter'!E8</f>
        <v/>
      </c>
      <c r="L6" s="90" t="n">
        <v>3550000</v>
      </c>
      <c r="M6" s="91">
        <f>I6-L6</f>
        <v/>
      </c>
    </row>
    <row r="7" ht="15" customHeight="1" s="314">
      <c r="A7" s="92" t="inlineStr">
        <is>
          <t>GRAND TOTAL</t>
        </is>
      </c>
      <c r="B7" s="92">
        <f>SUM(B4:B6)</f>
        <v/>
      </c>
      <c r="C7" s="92">
        <f>SUM(C4:C6)</f>
        <v/>
      </c>
      <c r="D7" s="92">
        <f>SUM(D4:D6)</f>
        <v/>
      </c>
      <c r="E7" s="92">
        <f>SUM(E4:E6)</f>
        <v/>
      </c>
      <c r="F7" s="92">
        <f>SUM(F4:F6)</f>
        <v/>
      </c>
      <c r="G7" s="92">
        <f>SUM(G4:G6)</f>
        <v/>
      </c>
      <c r="H7" s="92">
        <f>SUM(H4:H6)</f>
        <v/>
      </c>
      <c r="I7" s="93">
        <f>SUM(I4:I6)</f>
        <v/>
      </c>
      <c r="J7" s="94">
        <f>SUM(J4:J6)</f>
        <v/>
      </c>
      <c r="K7" s="92">
        <f>IF(M7=0,"✅ SEMUA LUNAS","⏳ Ada yang Belum")</f>
        <v/>
      </c>
      <c r="L7" s="94">
        <f>SUM(L4:L6)</f>
        <v/>
      </c>
      <c r="M7" s="94">
        <f>SUM(M4:M6)</f>
        <v/>
      </c>
    </row>
    <row r="8" ht="15" customHeight="1" s="314">
      <c r="A8" s="95" t="n"/>
      <c r="B8" s="95" t="n"/>
      <c r="C8" s="95" t="n"/>
      <c r="D8" s="95" t="n"/>
      <c r="E8" s="95" t="n"/>
      <c r="F8" s="95" t="n"/>
      <c r="G8" s="95" t="n"/>
      <c r="H8" s="95" t="n"/>
      <c r="I8" s="95" t="n"/>
      <c r="J8" s="95" t="n"/>
      <c r="K8" s="95" t="n"/>
      <c r="L8" s="95" t="n"/>
    </row>
    <row r="9" ht="15" customHeight="1" s="314">
      <c r="A9" s="95" t="n"/>
      <c r="B9" s="95" t="n"/>
      <c r="C9" s="95" t="n"/>
      <c r="D9" s="95" t="n"/>
      <c r="E9" s="95" t="n"/>
      <c r="F9" s="95" t="n"/>
      <c r="G9" s="95" t="n"/>
      <c r="H9" s="95" t="n"/>
      <c r="I9" s="95" t="n"/>
      <c r="J9" s="95" t="n"/>
      <c r="K9" s="95" t="n"/>
      <c r="L9" s="95" t="n"/>
    </row>
    <row r="10" ht="15" customHeight="1" s="314">
      <c r="A10" s="95" t="n"/>
      <c r="B10" s="95" t="n"/>
      <c r="C10" s="95" t="n"/>
      <c r="D10" s="95" t="n"/>
      <c r="E10" s="95" t="n"/>
      <c r="F10" s="95" t="n"/>
      <c r="G10" s="95" t="n"/>
      <c r="H10" s="95" t="n"/>
      <c r="I10" s="95" t="n"/>
      <c r="J10" s="95" t="n"/>
      <c r="K10" s="95" t="n"/>
      <c r="L10" s="95" t="n"/>
    </row>
    <row r="11" ht="15" customHeight="1" s="314"/>
    <row r="12" ht="15" customHeight="1" s="314"/>
    <row r="13" ht="15" customHeight="1" s="314"/>
    <row r="14" ht="15.75" customHeight="1" s="314"/>
    <row r="15" ht="15.75" customHeight="1" s="314"/>
    <row r="16" ht="15.75" customHeight="1" s="314"/>
    <row r="17" ht="15.75" customHeight="1" s="314"/>
  </sheetData>
  <mergeCells count="2">
    <mergeCell ref="A2:M2"/>
    <mergeCell ref="A1:M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fitToPage="1"/>
  </sheetPr>
  <dimension ref="A1:L43"/>
  <sheetViews>
    <sheetView zoomScaleNormal="100" workbookViewId="0">
      <selection activeCell="L6" sqref="L6"/>
    </sheetView>
  </sheetViews>
  <sheetFormatPr baseColWidth="8" defaultColWidth="8.7109375" defaultRowHeight="15"/>
  <cols>
    <col width="5" customWidth="1" style="314" min="1" max="1"/>
    <col width="13" customWidth="1" style="314" min="2" max="2"/>
    <col width="8" customWidth="1" style="314" min="3" max="4"/>
    <col width="13.7109375" customWidth="1" style="314" min="5" max="5"/>
    <col width="12.5703125" customWidth="1" style="314" min="6" max="7"/>
    <col width="18.85546875" customWidth="1" style="314" min="8" max="8"/>
    <col width="16.28515625" customWidth="1" style="57" min="9" max="9"/>
    <col width="20" customWidth="1" style="57" min="10" max="10"/>
    <col width="17.140625" customWidth="1" style="57" min="11" max="11"/>
    <col width="18" customWidth="1" style="57" min="12" max="12"/>
  </cols>
  <sheetData>
    <row r="1" ht="27.75" customHeight="1" s="314">
      <c r="A1" s="262" t="inlineStr">
        <is>
          <t>💳  LAPORAN DETAIL PENARIKAN &amp; FEE PER DOKTER</t>
        </is>
      </c>
    </row>
    <row r="2" ht="18" customHeight="1" s="314">
      <c r="A2" s="263" t="inlineStr">
        <is>
          <t>Konsultasi Rp150.000: Dokter 70% / Klinik 30%  |  Tindakan Tambahan: Dokter 50% / Klinik 50%  |  Dicetak: 12 May 2026</t>
        </is>
      </c>
    </row>
    <row r="3" ht="24" customHeight="1" s="314">
      <c r="A3" s="264" t="inlineStr">
        <is>
          <t xml:space="preserve">  👨‍⚕️  dr. ARIF</t>
        </is>
      </c>
    </row>
    <row r="4" ht="42" customHeight="1" s="314">
      <c r="A4" s="96" t="inlineStr">
        <is>
          <t>No</t>
        </is>
      </c>
      <c r="B4" s="96" t="inlineStr">
        <is>
          <t>Tanggal</t>
        </is>
      </c>
      <c r="C4" s="96" t="inlineStr">
        <is>
          <t>Ps.
100rb</t>
        </is>
      </c>
      <c r="D4" s="96" t="inlineStr">
        <is>
          <t>Ps.
150rb</t>
        </is>
      </c>
      <c r="E4" s="96" t="inlineStr">
        <is>
          <t>Ps.
200rb</t>
        </is>
      </c>
      <c r="F4" s="96" t="inlineStr">
        <is>
          <t>Ps.
250rb</t>
        </is>
      </c>
      <c r="G4" s="96" t="inlineStr">
        <is>
          <t>Ps.
300rb</t>
        </is>
      </c>
      <c r="H4" s="96" t="inlineStr">
        <is>
          <t>Total
Pasien</t>
        </is>
      </c>
      <c r="I4" s="97" t="inlineStr">
        <is>
          <t>Total
Penarikan</t>
        </is>
      </c>
      <c r="J4" s="98" t="inlineStr">
        <is>
          <t>Fee Dokter
(KONSULTASI
70%+TINDAKAN 50%)</t>
        </is>
      </c>
      <c r="K4" s="99" t="inlineStr">
        <is>
          <t>Fee Klinik
(30%+50%)</t>
        </is>
      </c>
      <c r="L4" s="97" t="inlineStr">
        <is>
          <t>Keterangan</t>
        </is>
      </c>
    </row>
    <row r="5" ht="18" customHeight="1" s="314">
      <c r="A5" s="100" t="n">
        <v>1</v>
      </c>
      <c r="B5" s="101" t="n">
        <v>46141</v>
      </c>
      <c r="C5" s="100">
        <f>IFERROR(COUNTIFS('📋 Data Pasien'!$B:$B,B5,'📋 Data Pasien'!$J:$J,"dr. ARIF",'📋 Data Pasien'!$D:$D,100000),0)</f>
        <v/>
      </c>
      <c r="D5" s="100">
        <f>IFERROR(COUNTIFS('📋 Data Pasien'!$B:$B,B5,'📋 Data Pasien'!$J:$J,"dr. ARIF",'📋 Data Pasien'!$D:$D,150000),0)</f>
        <v/>
      </c>
      <c r="E5" s="100">
        <f>IFERROR(COUNTIFS('📋 Data Pasien'!$B:$B,B5,'📋 Data Pasien'!$J:$J,"dr. ARIF",'📋 Data Pasien'!$D:$D,200000),0)</f>
        <v/>
      </c>
      <c r="F5" s="100">
        <f>IFERROR(COUNTIFS('📋 Data Pasien'!$B:$B,B5,'📋 Data Pasien'!$J:$J,"dr. ARIF",'📋 Data Pasien'!$D:$D,250000),0)</f>
        <v/>
      </c>
      <c r="G5" s="100">
        <f>IFERROR(COUNTIFS('📋 Data Pasien'!$B:$B,B5,'📋 Data Pasien'!$J:$J,"dr. ARIF",'📋 Data Pasien'!$D:$D,300000),0)</f>
        <v/>
      </c>
      <c r="H5" s="100">
        <f>SUM(C5:G5)</f>
        <v/>
      </c>
      <c r="I5" s="102">
        <f>C5*100000+D5*150000+E5*200000+F5*250000+G5*300000</f>
        <v/>
      </c>
      <c r="J5" s="103">
        <f>C5*70000+D5*105000+E5*130000+F5*155000+G5*180000</f>
        <v/>
      </c>
      <c r="K5" s="104">
        <f>C5*30000+D5*45000+E5*70000+F5*95000+G5*120000</f>
        <v/>
      </c>
      <c r="L5" s="105" t="n"/>
    </row>
    <row r="6" ht="18" customHeight="1" s="314">
      <c r="A6" s="106" t="n">
        <v>2</v>
      </c>
      <c r="B6" s="107" t="n">
        <v>46142</v>
      </c>
      <c r="C6" s="106">
        <f>IFERROR(COUNTIFS('📋 Data Pasien'!$B:$B,B6,'📋 Data Pasien'!$J:$J,"dr. ARIF",'📋 Data Pasien'!$D:$D,100000),0)</f>
        <v/>
      </c>
      <c r="D6" s="106">
        <f>IFERROR(COUNTIFS('📋 Data Pasien'!$B:$B,B6,'📋 Data Pasien'!$J:$J,"dr. ARIF",'📋 Data Pasien'!$D:$D,150000),0)</f>
        <v/>
      </c>
      <c r="E6" s="106">
        <f>IFERROR(COUNTIFS('📋 Data Pasien'!$B:$B,B6,'📋 Data Pasien'!$J:$J,"dr. ARIF",'📋 Data Pasien'!$D:$D,200000),0)</f>
        <v/>
      </c>
      <c r="F6" s="106">
        <f>IFERROR(COUNTIFS('📋 Data Pasien'!$B:$B,B6,'📋 Data Pasien'!$J:$J,"dr. ARIF",'📋 Data Pasien'!$D:$D,250000),0)</f>
        <v/>
      </c>
      <c r="G6" s="106">
        <f>IFERROR(COUNTIFS('📋 Data Pasien'!$B:$B,B6,'📋 Data Pasien'!$J:$J,"dr. ARIF",'📋 Data Pasien'!$D:$D,300000),0)</f>
        <v/>
      </c>
      <c r="H6" s="106">
        <f>SUM(C6:G6)</f>
        <v/>
      </c>
      <c r="I6" s="108">
        <f>C6*100000+D6*150000+E6*200000+F6*250000+G6*300000</f>
        <v/>
      </c>
      <c r="J6" s="103" t="n">
        <v>200000</v>
      </c>
      <c r="K6" s="104" t="n">
        <v>0</v>
      </c>
      <c r="L6" s="109" t="inlineStr">
        <is>
          <t>guarantee fee 200rb</t>
        </is>
      </c>
    </row>
    <row r="7" ht="18" customHeight="1" s="314">
      <c r="A7" s="100" t="n">
        <v>3</v>
      </c>
      <c r="B7" s="101" t="n">
        <v>46146</v>
      </c>
      <c r="C7" s="100">
        <f>IFERROR(COUNTIFS('📋 Data Pasien'!$B:$B,B7,'📋 Data Pasien'!$J:$J,"dr. ARIF",'📋 Data Pasien'!$D:$D,100000),0)</f>
        <v/>
      </c>
      <c r="D7" s="100">
        <f>IFERROR(COUNTIFS('📋 Data Pasien'!$B:$B,B7,'📋 Data Pasien'!$J:$J,"dr. ARIF",'📋 Data Pasien'!$D:$D,150000),0)</f>
        <v/>
      </c>
      <c r="E7" s="100">
        <f>IFERROR(COUNTIFS('📋 Data Pasien'!$B:$B,B7,'📋 Data Pasien'!$J:$J,"dr. ARIF",'📋 Data Pasien'!$D:$D,200000),0)</f>
        <v/>
      </c>
      <c r="F7" s="100">
        <f>IFERROR(COUNTIFS('📋 Data Pasien'!$B:$B,B7,'📋 Data Pasien'!$J:$J,"dr. ARIF",'📋 Data Pasien'!$D:$D,250000),0)</f>
        <v/>
      </c>
      <c r="G7" s="100">
        <f>IFERROR(COUNTIFS('📋 Data Pasien'!$B:$B,B7,'📋 Data Pasien'!$J:$J,"dr. ARIF",'📋 Data Pasien'!$D:$D,300000),0)</f>
        <v/>
      </c>
      <c r="H7" s="100">
        <f>SUM(C7:G7)</f>
        <v/>
      </c>
      <c r="I7" s="102">
        <f>C7*100000+D7*150000+E7*200000+F7*250000+G7*300000</f>
        <v/>
      </c>
      <c r="J7" s="103">
        <f>C7*70000+D7*105000+E7*130000+F7*155000+G7*180000</f>
        <v/>
      </c>
      <c r="K7" s="104">
        <f>C7*30000+D7*45000+E7*70000+F7*95000+G7*120000</f>
        <v/>
      </c>
      <c r="L7" s="105" t="n"/>
    </row>
    <row r="8" ht="18" customHeight="1" s="314">
      <c r="A8" s="106" t="n">
        <v>4</v>
      </c>
      <c r="B8" s="107" t="n">
        <v>46148</v>
      </c>
      <c r="C8" s="106">
        <f>IFERROR(COUNTIFS('📋 Data Pasien'!$B:$B,B8,'📋 Data Pasien'!$J:$J,"dr. ARIF",'📋 Data Pasien'!$D:$D,100000),0)</f>
        <v/>
      </c>
      <c r="D8" s="106">
        <f>IFERROR(COUNTIFS('📋 Data Pasien'!$B:$B,B8,'📋 Data Pasien'!$J:$J,"dr. ARIF",'📋 Data Pasien'!$D:$D,150000),0)</f>
        <v/>
      </c>
      <c r="E8" s="106">
        <f>IFERROR(COUNTIFS('📋 Data Pasien'!$B:$B,B8,'📋 Data Pasien'!$J:$J,"dr. ARIF",'📋 Data Pasien'!$D:$D,200000),0)</f>
        <v/>
      </c>
      <c r="F8" s="106">
        <f>IFERROR(COUNTIFS('📋 Data Pasien'!$B:$B,B8,'📋 Data Pasien'!$J:$J,"dr. ARIF",'📋 Data Pasien'!$D:$D,250000),0)</f>
        <v/>
      </c>
      <c r="G8" s="106">
        <f>IFERROR(COUNTIFS('📋 Data Pasien'!$B:$B,B8,'📋 Data Pasien'!$J:$J,"dr. ARIF",'📋 Data Pasien'!$D:$D,300000),0)</f>
        <v/>
      </c>
      <c r="H8" s="106">
        <f>SUM(C8:G8)</f>
        <v/>
      </c>
      <c r="I8" s="108">
        <f>C8*100000+D8*150000+E8*200000+F8*250000+G8*300000</f>
        <v/>
      </c>
      <c r="J8" s="103">
        <f>C8*70000+D8*105000+E8*130000+F8*155000+G8*180000</f>
        <v/>
      </c>
      <c r="K8" s="104">
        <f>C8*30000+D8*45000+E8*70000+F8*95000+G8*120000</f>
        <v/>
      </c>
      <c r="L8" s="109" t="n"/>
    </row>
    <row r="9" ht="18" customHeight="1" s="314">
      <c r="A9" s="100" t="n">
        <v>5</v>
      </c>
      <c r="B9" s="101" t="n">
        <v>46149</v>
      </c>
      <c r="C9" s="100">
        <f>IFERROR(COUNTIFS('📋 Data Pasien'!$B:$B,B9,'📋 Data Pasien'!$J:$J,"dr. ARIF",'📋 Data Pasien'!$D:$D,100000),0)</f>
        <v/>
      </c>
      <c r="D9" s="100">
        <f>IFERROR(COUNTIFS('📋 Data Pasien'!$B:$B,B9,'📋 Data Pasien'!$J:$J,"dr. ARIF",'📋 Data Pasien'!$D:$D,150000),0)</f>
        <v/>
      </c>
      <c r="E9" s="100">
        <f>IFERROR(COUNTIFS('📋 Data Pasien'!$B:$B,B9,'📋 Data Pasien'!$J:$J,"dr. ARIF",'📋 Data Pasien'!$D:$D,200000),0)</f>
        <v/>
      </c>
      <c r="F9" s="100">
        <f>IFERROR(COUNTIFS('📋 Data Pasien'!$B:$B,B9,'📋 Data Pasien'!$J:$J,"dr. ARIF",'📋 Data Pasien'!$D:$D,250000),0)</f>
        <v/>
      </c>
      <c r="G9" s="100">
        <f>IFERROR(COUNTIFS('📋 Data Pasien'!$B:$B,B9,'📋 Data Pasien'!$J:$J,"dr. ARIF",'📋 Data Pasien'!$D:$D,300000),0)</f>
        <v/>
      </c>
      <c r="H9" s="100">
        <f>SUM(C9:G9)</f>
        <v/>
      </c>
      <c r="I9" s="102">
        <f>C9*100000+D9*150000+E9*200000+F9*250000+G9*300000</f>
        <v/>
      </c>
      <c r="J9" s="103">
        <f>C9*70000+D9*105000+E9*130000+F9*155000+G9*180000</f>
        <v/>
      </c>
      <c r="K9" s="104">
        <f>C9*30000+D9*45000+E9*70000+F9*95000+G9*120000</f>
        <v/>
      </c>
      <c r="L9" s="105" t="n"/>
    </row>
    <row r="10" ht="18" customHeight="1" s="314">
      <c r="A10" s="100" t="n">
        <v>6</v>
      </c>
      <c r="B10" s="101" t="n">
        <v>46155</v>
      </c>
      <c r="C10" s="100">
        <f>IFERROR(COUNTIFS('📋 Data Pasien'!$B:$B,B10,'📋 Data Pasien'!$J:$J,"dr. ARIF",'📋 Data Pasien'!$D:$D,100000),0)</f>
        <v/>
      </c>
      <c r="D10" s="100">
        <f>IFERROR(COUNTIFS('📋 Data Pasien'!$B:$B,B10,'📋 Data Pasien'!$J:$J,"dr. ARIF",'📋 Data Pasien'!$D:$D,150000),0)</f>
        <v/>
      </c>
      <c r="E10" s="100">
        <f>IFERROR(COUNTIFS('📋 Data Pasien'!$B:$B,B10,'📋 Data Pasien'!$J:$J,"dr. ARIF",'📋 Data Pasien'!$D:$D,200000),0)</f>
        <v/>
      </c>
      <c r="F10" s="100">
        <f>IFERROR(COUNTIFS('📋 Data Pasien'!$B:$B,B10,'📋 Data Pasien'!$J:$J,"dr. ARIF",'📋 Data Pasien'!$D:$D,250000),0)</f>
        <v/>
      </c>
      <c r="G10" s="100">
        <f>IFERROR(COUNTIFS('📋 Data Pasien'!$B:$B,B10,'📋 Data Pasien'!$J:$J,"dr. ARIF",'📋 Data Pasien'!$D:$D,300000),0)</f>
        <v/>
      </c>
      <c r="H10" s="100">
        <f>SUM(C10:G10)</f>
        <v/>
      </c>
      <c r="I10" s="102">
        <f>C10*100000+D10*150000+E10*200000+F10*250000+G10*300000</f>
        <v/>
      </c>
      <c r="J10" s="103">
        <f>C10*70000+D10*105000+E10*130000+F10*155000+G10*180000</f>
        <v/>
      </c>
      <c r="K10" s="104">
        <f>C10*30000+D10*45000+E10*70000+F10*95000+G10*120000</f>
        <v/>
      </c>
      <c r="L10" s="105" t="n"/>
    </row>
    <row r="11" ht="18" customHeight="1" s="314">
      <c r="A11" s="100" t="n">
        <v>7</v>
      </c>
      <c r="B11" s="101" t="n">
        <v>46156</v>
      </c>
      <c r="C11" s="71" t="n">
        <v>1</v>
      </c>
      <c r="D11" s="71" t="n">
        <v>3</v>
      </c>
      <c r="E11" s="71" t="n">
        <v>3</v>
      </c>
      <c r="F11" s="71" t="n">
        <v>0</v>
      </c>
      <c r="G11" s="71" t="n">
        <v>0</v>
      </c>
      <c r="H11" s="100">
        <f>SUM(C11:G11)</f>
        <v/>
      </c>
      <c r="I11" s="102">
        <f>C11*100000+D11*150000+E11*200000+F11*250000+G11*300000</f>
        <v/>
      </c>
      <c r="J11" s="103">
        <f>C11*70000+D11*105000+E11*130000+F11*155000+G11*180000</f>
        <v/>
      </c>
      <c r="K11" s="104">
        <f>C11*30000+D11*45000+E11*70000+F11*95000+G11*120000</f>
        <v/>
      </c>
      <c r="L11" s="105" t="n"/>
    </row>
    <row r="12" ht="19.5" customHeight="1" s="314">
      <c r="A12" s="100" t="n"/>
      <c r="B12" s="101" t="n"/>
      <c r="C12" s="100" t="n"/>
      <c r="D12" s="100" t="n"/>
      <c r="E12" s="100" t="n"/>
      <c r="F12" s="100" t="n"/>
      <c r="G12" s="100" t="n"/>
      <c r="H12" s="100" t="n"/>
      <c r="I12" s="102" t="n"/>
      <c r="J12" s="103" t="n"/>
      <c r="K12" s="104" t="n"/>
      <c r="L12" s="105" t="n"/>
    </row>
    <row r="13" ht="15" customHeight="1" s="314">
      <c r="A13" s="110" t="inlineStr">
        <is>
          <t>SUBTOTAL  dr. ARIF</t>
        </is>
      </c>
      <c r="B13" s="111" t="n"/>
      <c r="C13" s="111">
        <f>SUM(C5:C12)</f>
        <v/>
      </c>
      <c r="D13" s="111">
        <f>SUM(D5:D12)</f>
        <v/>
      </c>
      <c r="E13" s="111">
        <f>SUM(E5:E12)</f>
        <v/>
      </c>
      <c r="F13" s="111">
        <f>SUM(F5:F12)</f>
        <v/>
      </c>
      <c r="G13" s="111">
        <f>SUM(G5:G12)</f>
        <v/>
      </c>
      <c r="H13" s="111">
        <f>SUM(H5:H12)</f>
        <v/>
      </c>
      <c r="I13" s="112">
        <f>SUM(I5:I12)</f>
        <v/>
      </c>
      <c r="J13" s="113">
        <f>SUM(J5:J12)</f>
        <v/>
      </c>
      <c r="K13" s="114">
        <f>SUM(K5:K12)</f>
        <v/>
      </c>
      <c r="L13" s="115" t="n"/>
    </row>
    <row r="14" ht="24" customHeight="1" s="314"/>
    <row r="15" ht="42" customHeight="1" s="314">
      <c r="A15" s="264" t="inlineStr">
        <is>
          <t xml:space="preserve">  👨‍⚕️  dr. HAWA</t>
        </is>
      </c>
    </row>
    <row r="16" ht="36" customHeight="1" s="314">
      <c r="A16" s="96" t="inlineStr">
        <is>
          <t>No</t>
        </is>
      </c>
      <c r="B16" s="96" t="inlineStr">
        <is>
          <t>Tanggal</t>
        </is>
      </c>
      <c r="C16" s="96" t="inlineStr">
        <is>
          <t>Ps.
100rb</t>
        </is>
      </c>
      <c r="D16" s="96" t="inlineStr">
        <is>
          <t>Ps.
150rb</t>
        </is>
      </c>
      <c r="E16" s="96" t="inlineStr">
        <is>
          <t>Ps.
200rb</t>
        </is>
      </c>
      <c r="F16" s="96" t="inlineStr">
        <is>
          <t>Ps.
250rb</t>
        </is>
      </c>
      <c r="G16" s="96" t="inlineStr">
        <is>
          <t>Ps.
300rb</t>
        </is>
      </c>
      <c r="H16" s="96" t="inlineStr">
        <is>
          <t>Total
Pasien</t>
        </is>
      </c>
      <c r="I16" s="97" t="inlineStr">
        <is>
          <t>Total
Penarikan</t>
        </is>
      </c>
      <c r="J16" s="98" t="inlineStr">
        <is>
          <t>Fee Dokter
(KONSULTASI
70%+TINDAKAN 50%)</t>
        </is>
      </c>
      <c r="K16" s="99" t="inlineStr">
        <is>
          <t>Fee Klinik
(30%+50%)</t>
        </is>
      </c>
      <c r="L16" s="97" t="inlineStr">
        <is>
          <t>Keterangan</t>
        </is>
      </c>
    </row>
    <row r="17" ht="18" customHeight="1" s="314">
      <c r="A17" s="100" t="n">
        <v>1</v>
      </c>
      <c r="B17" s="101" t="n">
        <v>46140</v>
      </c>
      <c r="C17" s="100">
        <f>IFERROR(COUNTIFS('📋 Data Pasien'!$B:$B,B16,'📋 Data Pasien'!$J:$J,"dr. HAWA",'📋 Data Pasien'!$D:$D,100000),0)</f>
        <v/>
      </c>
      <c r="D17" s="100">
        <f>IFERROR(COUNTIFS('📋 Data Pasien'!$B:$B,B16,'📋 Data Pasien'!$J:$J,"dr. HAWA",'📋 Data Pasien'!$D:$D,150000),0)</f>
        <v/>
      </c>
      <c r="E17" s="100">
        <f>IFERROR(COUNTIFS('📋 Data Pasien'!$B:$B,B16,'📋 Data Pasien'!$J:$J,"dr. HAWA",'📋 Data Pasien'!$D:$D,200000),0)</f>
        <v/>
      </c>
      <c r="F17" s="100">
        <f>IFERROR(COUNTIFS('📋 Data Pasien'!$B:$B,B16,'📋 Data Pasien'!$J:$J,"dr. HAWA",'📋 Data Pasien'!$D:$D,250000),0)</f>
        <v/>
      </c>
      <c r="G17" s="100">
        <f>IFERROR(COUNTIFS('📋 Data Pasien'!$B:$B,B16,'📋 Data Pasien'!$J:$J,"dr. HAWA",'📋 Data Pasien'!$D:$D,300000),0)</f>
        <v/>
      </c>
      <c r="H17" s="100">
        <f>SUM(C16:G16)</f>
        <v/>
      </c>
      <c r="I17" s="102">
        <f>C17*100000+D17*150000+E17*200000+F17*250000+G17*300000</f>
        <v/>
      </c>
      <c r="J17" s="103">
        <f>C17*70000+D17*105000+E17*130000+F17*155000+G17*180000</f>
        <v/>
      </c>
      <c r="K17" s="104">
        <f>C17*30000+D17*45000+E17*70000+F17*95000+G17*120000</f>
        <v/>
      </c>
      <c r="L17" s="105" t="n"/>
    </row>
    <row r="18" ht="18" customHeight="1" s="314">
      <c r="A18" s="106" t="n">
        <v>2</v>
      </c>
      <c r="B18" s="107" t="n">
        <v>46144</v>
      </c>
      <c r="C18" s="106">
        <f>IFERROR(COUNTIFS('📋 Data Pasien'!$B:$B,B17,'📋 Data Pasien'!$J:$J,"dr. HAWA",'📋 Data Pasien'!$D:$D,100000),0)</f>
        <v/>
      </c>
      <c r="D18" s="106">
        <f>IFERROR(COUNTIFS('📋 Data Pasien'!$B:$B,B17,'📋 Data Pasien'!$J:$J,"dr. HAWA",'📋 Data Pasien'!$D:$D,150000),0)</f>
        <v/>
      </c>
      <c r="E18" s="106">
        <f>IFERROR(COUNTIFS('📋 Data Pasien'!$B:$B,B17,'📋 Data Pasien'!$J:$J,"dr. HAWA",'📋 Data Pasien'!$D:$D,200000),0)</f>
        <v/>
      </c>
      <c r="F18" s="106">
        <f>IFERROR(COUNTIFS('📋 Data Pasien'!$B:$B,B17,'📋 Data Pasien'!$J:$J,"dr. HAWA",'📋 Data Pasien'!$D:$D,250000),0)</f>
        <v/>
      </c>
      <c r="G18" s="106">
        <f>IFERROR(COUNTIFS('📋 Data Pasien'!$B:$B,B17,'📋 Data Pasien'!$J:$J,"dr. HAWA",'📋 Data Pasien'!$D:$D,300000),0)</f>
        <v/>
      </c>
      <c r="H18" s="106">
        <f>SUM(C17:G17)</f>
        <v/>
      </c>
      <c r="I18" s="108">
        <f>C18*100000+D18*150000+E18*200000+F18*250000+G18*300000</f>
        <v/>
      </c>
      <c r="J18" s="103">
        <f>C18*70000+D18*105000+E18*130000+F18*155000+G18*180000</f>
        <v/>
      </c>
      <c r="K18" s="104">
        <f>C18*30000+D18*45000+E18*70000+F18*95000+G18*120000</f>
        <v/>
      </c>
      <c r="L18" s="109" t="n"/>
    </row>
    <row r="19" ht="18" customHeight="1" s="314">
      <c r="A19" s="100" t="n">
        <v>3</v>
      </c>
      <c r="B19" s="101" t="n">
        <v>46145</v>
      </c>
      <c r="C19" s="100">
        <f>IFERROR(COUNTIFS('📋 Data Pasien'!$B:$B,B18,'📋 Data Pasien'!$J:$J,"dr. HAWA",'📋 Data Pasien'!$D:$D,100000),0)</f>
        <v/>
      </c>
      <c r="D19" s="100">
        <f>IFERROR(COUNTIFS('📋 Data Pasien'!$B:$B,B18,'📋 Data Pasien'!$J:$J,"dr. HAWA",'📋 Data Pasien'!$D:$D,150000),0)</f>
        <v/>
      </c>
      <c r="E19" s="100">
        <f>IFERROR(COUNTIFS('📋 Data Pasien'!$B:$B,B18,'📋 Data Pasien'!$J:$J,"dr. HAWA",'📋 Data Pasien'!$D:$D,200000),0)</f>
        <v/>
      </c>
      <c r="F19" s="100">
        <f>IFERROR(COUNTIFS('📋 Data Pasien'!$B:$B,B18,'📋 Data Pasien'!$J:$J,"dr. HAWA",'📋 Data Pasien'!$D:$D,250000),0)</f>
        <v/>
      </c>
      <c r="G19" s="100">
        <f>IFERROR(COUNTIFS('📋 Data Pasien'!$B:$B,B18,'📋 Data Pasien'!$J:$J,"dr. HAWA",'📋 Data Pasien'!$D:$D,300000),0)</f>
        <v/>
      </c>
      <c r="H19" s="100">
        <f>SUM(C18:G18)</f>
        <v/>
      </c>
      <c r="I19" s="102">
        <f>C19*100000+D19*150000+E19*200000+F19*250000+G19*300000</f>
        <v/>
      </c>
      <c r="J19" s="103">
        <f>C19*70000+D19*105000+E19*130000+F19*155000+G19*180000</f>
        <v/>
      </c>
      <c r="K19" s="104">
        <f>C19*30000+D19*45000+E19*70000+F19*95000+G19*120000</f>
        <v/>
      </c>
      <c r="L19" s="105" t="n"/>
    </row>
    <row r="20" ht="18" customHeight="1" s="314">
      <c r="A20" s="106" t="n">
        <v>4</v>
      </c>
      <c r="B20" s="107" t="n">
        <v>46147</v>
      </c>
      <c r="C20" s="106">
        <f>IFERROR(COUNTIFS('📋 Data Pasien'!$B:$B,B19,'📋 Data Pasien'!$J:$J,"dr. HAWA",'📋 Data Pasien'!$D:$D,100000),0)</f>
        <v/>
      </c>
      <c r="D20" s="106">
        <f>IFERROR(COUNTIFS('📋 Data Pasien'!$B:$B,B19,'📋 Data Pasien'!$J:$J,"dr. HAWA",'📋 Data Pasien'!$D:$D,150000),0)</f>
        <v/>
      </c>
      <c r="E20" s="106">
        <f>IFERROR(COUNTIFS('📋 Data Pasien'!$B:$B,B19,'📋 Data Pasien'!$J:$J,"dr. HAWA",'📋 Data Pasien'!$D:$D,200000),0)</f>
        <v/>
      </c>
      <c r="F20" s="106">
        <f>IFERROR(COUNTIFS('📋 Data Pasien'!$B:$B,B19,'📋 Data Pasien'!$J:$J,"dr. HAWA",'📋 Data Pasien'!$D:$D,250000),0)</f>
        <v/>
      </c>
      <c r="G20" s="106">
        <f>IFERROR(COUNTIFS('📋 Data Pasien'!$B:$B,B19,'📋 Data Pasien'!$J:$J,"dr. HAWA",'📋 Data Pasien'!$D:$D,300000),0)</f>
        <v/>
      </c>
      <c r="H20" s="106">
        <f>SUM(C19:G19)</f>
        <v/>
      </c>
      <c r="I20" s="108">
        <f>C20*100000+D20*150000+E20*200000+F20*250000+G20*300000</f>
        <v/>
      </c>
      <c r="J20" s="103">
        <f>C20*70000+D20*105000+E20*130000+F20*155000+G20*180000</f>
        <v/>
      </c>
      <c r="K20" s="104">
        <f>C20*30000+D20*45000+E20*70000+F20*95000+G20*120000</f>
        <v/>
      </c>
      <c r="L20" s="109" t="n"/>
    </row>
    <row r="21" ht="18" customHeight="1" s="314">
      <c r="A21" s="100" t="n">
        <v>5</v>
      </c>
      <c r="B21" s="101" t="n">
        <v>46151</v>
      </c>
      <c r="C21" s="100">
        <f>IFERROR(COUNTIFS('📋 Data Pasien'!$B:$B,B20,'📋 Data Pasien'!$J:$J,"dr. HAWA",'📋 Data Pasien'!$D:$D,100000),0)</f>
        <v/>
      </c>
      <c r="D21" s="100">
        <f>IFERROR(COUNTIFS('📋 Data Pasien'!$B:$B,B20,'📋 Data Pasien'!$J:$J,"dr. HAWA",'📋 Data Pasien'!$D:$D,150000),0)</f>
        <v/>
      </c>
      <c r="E21" s="100">
        <f>IFERROR(COUNTIFS('📋 Data Pasien'!$B:$B,B20,'📋 Data Pasien'!$J:$J,"dr. HAWA",'📋 Data Pasien'!$D:$D,200000),0)</f>
        <v/>
      </c>
      <c r="F21" s="100">
        <f>IFERROR(COUNTIFS('📋 Data Pasien'!$B:$B,B20,'📋 Data Pasien'!$J:$J,"dr. HAWA",'📋 Data Pasien'!$D:$D,250000),0)</f>
        <v/>
      </c>
      <c r="G21" s="100">
        <f>IFERROR(COUNTIFS('📋 Data Pasien'!$B:$B,B20,'📋 Data Pasien'!$J:$J,"dr. HAWA",'📋 Data Pasien'!$D:$D,300000),0)</f>
        <v/>
      </c>
      <c r="H21" s="100">
        <f>SUM(C20:G20)</f>
        <v/>
      </c>
      <c r="I21" s="102">
        <f>C21*100000+D21*150000+E21*200000+F21*250000+G21*300000</f>
        <v/>
      </c>
      <c r="J21" s="103">
        <f>C21*70000+D21*105000+E21*130000+F21*155000+G21*180000</f>
        <v/>
      </c>
      <c r="K21" s="104">
        <f>C21*30000+D21*45000+E21*70000+F21*95000+G21*120000</f>
        <v/>
      </c>
      <c r="L21" s="105" t="n"/>
    </row>
    <row r="22" ht="18" customHeight="1" s="314">
      <c r="A22" s="106" t="n">
        <v>6</v>
      </c>
      <c r="B22" s="107" t="n">
        <v>46152</v>
      </c>
      <c r="C22" s="106">
        <f>IFERROR(COUNTIFS('📋 Data Pasien'!$B:$B,B21,'📋 Data Pasien'!$J:$J,"dr. HAWA",'📋 Data Pasien'!$D:$D,100000),0)</f>
        <v/>
      </c>
      <c r="D22" s="106">
        <f>IFERROR(COUNTIFS('📋 Data Pasien'!$B:$B,B21,'📋 Data Pasien'!$J:$J,"dr. HAWA",'📋 Data Pasien'!$D:$D,150000),0)</f>
        <v/>
      </c>
      <c r="E22" s="106">
        <f>IFERROR(COUNTIFS('📋 Data Pasien'!$B:$B,B21,'📋 Data Pasien'!$J:$J,"dr. HAWA",'📋 Data Pasien'!$D:$D,200000),0)</f>
        <v/>
      </c>
      <c r="F22" s="106">
        <f>IFERROR(COUNTIFS('📋 Data Pasien'!$B:$B,B21,'📋 Data Pasien'!$J:$J,"dr. HAWA",'📋 Data Pasien'!$D:$D,250000),0)</f>
        <v/>
      </c>
      <c r="G22" s="106">
        <f>IFERROR(COUNTIFS('📋 Data Pasien'!$B:$B,B21,'📋 Data Pasien'!$J:$J,"dr. HAWA",'📋 Data Pasien'!$D:$D,300000),0)</f>
        <v/>
      </c>
      <c r="H22" s="106">
        <f>SUM(C21:G21)</f>
        <v/>
      </c>
      <c r="I22" s="108">
        <f>C22*100000+D22*150000+E22*200000+F22*250000+G22*300000</f>
        <v/>
      </c>
      <c r="J22" s="103">
        <f>C22*70000+D22*105000+E22*130000+F22*155000+G22*180000</f>
        <v/>
      </c>
      <c r="K22" s="104">
        <f>C22*30000+D22*45000+E22*70000+F22*95000+G22*120000</f>
        <v/>
      </c>
      <c r="L22" s="109" t="n"/>
    </row>
    <row r="23" ht="18" customHeight="1" s="314">
      <c r="A23" s="100" t="n">
        <v>7</v>
      </c>
      <c r="B23" s="101" t="n">
        <v>46154</v>
      </c>
      <c r="C23" s="100">
        <f>IFERROR(COUNTIFS('📋 Data Pasien'!$B:$B,B22,'📋 Data Pasien'!$J:$J,"dr. HAWA",'📋 Data Pasien'!$D:$D,100000),0)</f>
        <v/>
      </c>
      <c r="D23" s="100">
        <f>IFERROR(COUNTIFS('📋 Data Pasien'!$B:$B,B22,'📋 Data Pasien'!$J:$J,"dr. HAWA",'📋 Data Pasien'!$D:$D,150000),0)</f>
        <v/>
      </c>
      <c r="E23" s="100">
        <f>IFERROR(COUNTIFS('📋 Data Pasien'!$B:$B,B22,'📋 Data Pasien'!$J:$J,"dr. HAWA",'📋 Data Pasien'!$D:$D,200000),0)</f>
        <v/>
      </c>
      <c r="F23" s="100">
        <f>IFERROR(COUNTIFS('📋 Data Pasien'!$B:$B,B22,'📋 Data Pasien'!$J:$J,"dr. HAWA",'📋 Data Pasien'!$D:$D,250000),0)</f>
        <v/>
      </c>
      <c r="G23" s="100">
        <f>IFERROR(COUNTIFS('📋 Data Pasien'!$B:$B,B22,'📋 Data Pasien'!$J:$J,"dr. HAWA",'📋 Data Pasien'!$D:$D,300000),0)</f>
        <v/>
      </c>
      <c r="H23" s="100">
        <f>SUM(C22:G22)</f>
        <v/>
      </c>
      <c r="I23" s="102">
        <f>C23*100000+D23*150000+E23*200000+F23*250000+G23*300000</f>
        <v/>
      </c>
      <c r="J23" s="103">
        <f>C23*70000+D23*105000+E23*130000+F23*155000+G23*180000</f>
        <v/>
      </c>
      <c r="K23" s="104">
        <f>C23*30000+D23*45000+E23*70000+F23*95000+G23*120000</f>
        <v/>
      </c>
      <c r="L23" s="105" t="n"/>
    </row>
    <row r="24" ht="18" customHeight="1" s="314">
      <c r="A24" s="100" t="n"/>
      <c r="B24" s="101" t="n"/>
      <c r="C24" s="100" t="n"/>
      <c r="D24" s="100" t="n"/>
      <c r="E24" s="100" t="n"/>
      <c r="F24" s="100" t="n"/>
      <c r="G24" s="100" t="n"/>
      <c r="H24" s="100" t="n"/>
      <c r="I24" s="102" t="n"/>
      <c r="J24" s="103" t="n"/>
      <c r="K24" s="104" t="n"/>
      <c r="L24" s="105" t="n"/>
    </row>
    <row r="25" ht="19.5" customHeight="1" s="314">
      <c r="A25" s="100" t="n"/>
      <c r="B25" s="101" t="n"/>
      <c r="C25" s="100" t="n"/>
      <c r="D25" s="100" t="n"/>
      <c r="E25" s="100" t="n"/>
      <c r="F25" s="100" t="n"/>
      <c r="G25" s="100" t="n"/>
      <c r="H25" s="100" t="n"/>
      <c r="I25" s="102" t="n"/>
      <c r="J25" s="103" t="n"/>
      <c r="K25" s="104" t="n"/>
      <c r="L25" s="105" t="n"/>
    </row>
    <row r="26" ht="15" customHeight="1" s="314">
      <c r="A26" s="110" t="inlineStr">
        <is>
          <t>SUBTOTAL  dr. HAWA</t>
        </is>
      </c>
      <c r="B26" s="111" t="n"/>
      <c r="C26" s="111">
        <f>SUM(C17:C23)</f>
        <v/>
      </c>
      <c r="D26" s="111">
        <f>SUM(D17:D23)</f>
        <v/>
      </c>
      <c r="E26" s="111">
        <f>SUM(E17:E23)</f>
        <v/>
      </c>
      <c r="F26" s="111">
        <f>SUM(F17:F23)</f>
        <v/>
      </c>
      <c r="G26" s="111">
        <f>SUM(G17:G23)</f>
        <v/>
      </c>
      <c r="H26" s="111">
        <f>SUM(H17:H23)</f>
        <v/>
      </c>
      <c r="I26" s="112">
        <f>SUM(I17:I23)</f>
        <v/>
      </c>
      <c r="J26" s="113">
        <f>SUM(J17:J23)</f>
        <v/>
      </c>
      <c r="K26" s="114">
        <f>SUM(K17:K23)</f>
        <v/>
      </c>
      <c r="L26" s="115" t="n"/>
    </row>
    <row r="27" ht="24" customHeight="1" s="314"/>
    <row r="28" ht="42" customHeight="1" s="314">
      <c r="A28" s="264" t="inlineStr">
        <is>
          <t xml:space="preserve">  👨‍⚕️  dr. JOJO</t>
        </is>
      </c>
    </row>
    <row r="29" ht="36" customHeight="1" s="314">
      <c r="A29" s="96" t="inlineStr">
        <is>
          <t>No</t>
        </is>
      </c>
      <c r="B29" s="96" t="inlineStr">
        <is>
          <t>Tanggal</t>
        </is>
      </c>
      <c r="C29" s="96" t="inlineStr">
        <is>
          <t>Ps.
100rb</t>
        </is>
      </c>
      <c r="D29" s="96" t="inlineStr">
        <is>
          <t>Ps.
150rb</t>
        </is>
      </c>
      <c r="E29" s="96" t="inlineStr">
        <is>
          <t>Ps.
200rb</t>
        </is>
      </c>
      <c r="F29" s="96" t="inlineStr">
        <is>
          <t>Ps.
250rb</t>
        </is>
      </c>
      <c r="G29" s="96" t="inlineStr">
        <is>
          <t>Ps.
300rb</t>
        </is>
      </c>
      <c r="H29" s="96" t="inlineStr">
        <is>
          <t>Total
Pasien</t>
        </is>
      </c>
      <c r="I29" s="97" t="inlineStr">
        <is>
          <t>Total
Penarikan</t>
        </is>
      </c>
      <c r="J29" s="98" t="inlineStr">
        <is>
          <t>Fee Dokter
(KONSULTASI
70%+TINDAKAN 50%)</t>
        </is>
      </c>
      <c r="K29" s="99" t="inlineStr">
        <is>
          <t>Fee Klinik
(30%+50%)</t>
        </is>
      </c>
      <c r="L29" s="97" t="inlineStr">
        <is>
          <t>Keterangan</t>
        </is>
      </c>
    </row>
    <row r="30" ht="18" customHeight="1" s="314">
      <c r="A30" s="100" t="n">
        <v>1</v>
      </c>
      <c r="B30" s="101" t="n">
        <v>46150</v>
      </c>
      <c r="C30" s="100">
        <f>IFERROR(COUNTIFS('📋 Data Pasien'!$B:$B,B30,'📋 Data Pasien'!$J:$J,"dr. JOJO",'📋 Data Pasien'!$D:$D,100000),0)</f>
        <v/>
      </c>
      <c r="D30" s="100">
        <f>IFERROR(COUNTIFS('📋 Data Pasien'!$B:$B,B30,'📋 Data Pasien'!$J:$J,"dr. JOJO",'📋 Data Pasien'!$D:$D,150000),0)</f>
        <v/>
      </c>
      <c r="E30" s="100">
        <f>IFERROR(COUNTIFS('📋 Data Pasien'!$B:$B,B30,'📋 Data Pasien'!$J:$J,"dr. JOJO",'📋 Data Pasien'!$D:$D,200000),0)</f>
        <v/>
      </c>
      <c r="F30" s="100">
        <f>IFERROR(COUNTIFS('📋 Data Pasien'!$B:$B,B30,'📋 Data Pasien'!$J:$J,"dr. JOJO",'📋 Data Pasien'!$D:$D,250000),0)</f>
        <v/>
      </c>
      <c r="G30" s="100">
        <f>IFERROR(COUNTIFS('📋 Data Pasien'!$B:$B,B30,'📋 Data Pasien'!$J:$J,"dr. JOJO",'📋 Data Pasien'!$D:$D,300000),0)</f>
        <v/>
      </c>
      <c r="H30" s="100">
        <f>SUM(C30:G30)</f>
        <v/>
      </c>
      <c r="I30" s="102">
        <f>C30*100000+D30*150000+E30*200000+F30*250000+G30*300000</f>
        <v/>
      </c>
      <c r="J30" s="103">
        <f>C30*70000+D30*105000+E30*130000+F30*155000+G30*180000</f>
        <v/>
      </c>
      <c r="K30" s="104">
        <f>C30*30000+D30*45000+E30*70000+F30*95000+G30*120000</f>
        <v/>
      </c>
      <c r="L30" s="105" t="n"/>
    </row>
    <row r="31" ht="18" customHeight="1" s="314">
      <c r="A31" s="106" t="n">
        <v>2</v>
      </c>
      <c r="B31" s="107" t="n">
        <v>46153</v>
      </c>
      <c r="C31" s="106">
        <f>IFERROR(COUNTIFS('📋 Data Pasien'!$B:$B,B31,'📋 Data Pasien'!$J:$J,"dr. JOJO",'📋 Data Pasien'!$D:$D,100000),0)</f>
        <v/>
      </c>
      <c r="D31" s="106">
        <f>IFERROR(COUNTIFS('📋 Data Pasien'!$B:$B,B31,'📋 Data Pasien'!$J:$J,"dr. JOJO",'📋 Data Pasien'!$D:$D,150000),0)</f>
        <v/>
      </c>
      <c r="E31" s="106">
        <f>IFERROR(COUNTIFS('📋 Data Pasien'!$B:$B,B31,'📋 Data Pasien'!$J:$J,"dr. JOJO",'📋 Data Pasien'!$D:$D,200000),0)</f>
        <v/>
      </c>
      <c r="F31" s="106">
        <f>IFERROR(COUNTIFS('📋 Data Pasien'!$B:$B,B31,'📋 Data Pasien'!$J:$J,"dr. JOJO",'📋 Data Pasien'!$D:$D,250000),0)</f>
        <v/>
      </c>
      <c r="G31" s="106">
        <f>IFERROR(COUNTIFS('📋 Data Pasien'!$B:$B,B31,'📋 Data Pasien'!$J:$J,"dr. JOJO",'📋 Data Pasien'!$D:$D,300000),0)</f>
        <v/>
      </c>
      <c r="H31" s="106">
        <f>SUM(C31:G31)</f>
        <v/>
      </c>
      <c r="I31" s="108">
        <f>C31*100000+D31*150000+E31*200000+F31*250000+G31*300000</f>
        <v/>
      </c>
      <c r="J31" s="103">
        <f>C31*70000+D31*105000+E31*130000+F31*155000+G31*180000</f>
        <v/>
      </c>
      <c r="K31" s="104">
        <f>C31*30000+D31*45000+E31*70000+F31*95000+G31*120000</f>
        <v/>
      </c>
      <c r="L31" s="109" t="n"/>
    </row>
    <row r="32" ht="18" customHeight="1" s="314">
      <c r="A32" s="106" t="n"/>
      <c r="B32" s="107" t="n"/>
      <c r="C32" s="106" t="n"/>
      <c r="D32" s="106" t="n"/>
      <c r="E32" s="106" t="n"/>
      <c r="F32" s="106" t="n"/>
      <c r="G32" s="106" t="n"/>
      <c r="H32" s="106" t="n"/>
      <c r="I32" s="108" t="n"/>
      <c r="J32" s="103" t="n"/>
      <c r="K32" s="104" t="n"/>
      <c r="L32" s="109" t="n"/>
    </row>
    <row r="33" ht="19.5" customHeight="1" s="314">
      <c r="A33" s="106" t="n"/>
      <c r="B33" s="107" t="n"/>
      <c r="C33" s="106" t="n"/>
      <c r="D33" s="106" t="n"/>
      <c r="E33" s="106" t="n"/>
      <c r="F33" s="106" t="n"/>
      <c r="G33" s="106" t="n"/>
      <c r="H33" s="106" t="n"/>
      <c r="I33" s="108" t="n"/>
      <c r="J33" s="103" t="n"/>
      <c r="K33" s="104" t="n"/>
      <c r="L33" s="109" t="n"/>
    </row>
    <row r="34" ht="15" customHeight="1" s="314">
      <c r="A34" s="110" t="inlineStr">
        <is>
          <t>SUBTOTAL  dr. JOJO</t>
        </is>
      </c>
      <c r="B34" s="111" t="n"/>
      <c r="C34" s="111">
        <f>SUM(C30:C31)</f>
        <v/>
      </c>
      <c r="D34" s="111">
        <f>SUM(D30:D31)</f>
        <v/>
      </c>
      <c r="E34" s="111">
        <f>SUM(E30:E31)</f>
        <v/>
      </c>
      <c r="F34" s="111">
        <f>SUM(F30:F31)</f>
        <v/>
      </c>
      <c r="G34" s="111">
        <f>SUM(G30:G31)</f>
        <v/>
      </c>
      <c r="H34" s="111">
        <f>SUM(H30:H31)</f>
        <v/>
      </c>
      <c r="I34" s="112">
        <f>SUM(I30:I31)</f>
        <v/>
      </c>
      <c r="J34" s="113">
        <f>SUM(J30:J31)</f>
        <v/>
      </c>
      <c r="K34" s="114">
        <f>SUM(K30:K31)</f>
        <v/>
      </c>
      <c r="L34" s="115" t="n"/>
    </row>
    <row r="35" ht="21.75" customHeight="1" s="314"/>
    <row r="36" ht="21.75" customHeight="1" s="314">
      <c r="A36" s="264" t="inlineStr">
        <is>
          <t>🏆  GRAND TOTAL SEMUA DOKTER</t>
        </is>
      </c>
    </row>
    <row r="37" ht="15" customHeight="1" s="314">
      <c r="A37" s="110" t="inlineStr">
        <is>
          <t>GRAND TOTAL</t>
        </is>
      </c>
      <c r="B37" s="111" t="n"/>
      <c r="C37" s="111">
        <f>C34+C26+C13</f>
        <v/>
      </c>
      <c r="D37" s="111">
        <f>D34+D26+D13</f>
        <v/>
      </c>
      <c r="E37" s="111">
        <f>E34+E26+E13</f>
        <v/>
      </c>
      <c r="F37" s="111">
        <f>F34+F26+F13</f>
        <v/>
      </c>
      <c r="G37" s="111">
        <f>G34+G26+G13</f>
        <v/>
      </c>
      <c r="H37" s="111">
        <f>H34+H26+H13</f>
        <v/>
      </c>
      <c r="I37" s="112">
        <f>I34+I26+I13</f>
        <v/>
      </c>
      <c r="J37" s="113">
        <f>J34+J26+J13</f>
        <v/>
      </c>
      <c r="K37" s="114">
        <f>K34+K26+K13</f>
        <v/>
      </c>
      <c r="L37" s="111">
        <f>L34+L26+L13</f>
        <v/>
      </c>
    </row>
    <row r="38" ht="19.5" customHeight="1" s="314"/>
    <row r="39" ht="34.5" customHeight="1" s="314">
      <c r="A39" s="117" t="inlineStr">
        <is>
          <t>📋  RINGKASAN PEMBAYARAN KE DOKTER — Status dari sheet Pembayaran Dokter</t>
        </is>
      </c>
    </row>
    <row r="40" ht="24" customHeight="1" s="314">
      <c r="A40" s="96" t="inlineStr">
        <is>
          <t>No</t>
        </is>
      </c>
      <c r="B40" s="96" t="inlineStr">
        <is>
          <t>Nama Dokter</t>
        </is>
      </c>
      <c r="C40" s="96" t="inlineStr">
        <is>
          <t>Hari
Praktek</t>
        </is>
      </c>
      <c r="D40" s="96" t="inlineStr">
        <is>
          <t>Total
Pasien</t>
        </is>
      </c>
      <c r="E40" s="96" t="inlineStr">
        <is>
          <t>Total
Penarikan</t>
        </is>
      </c>
      <c r="F40" s="96" t="inlineStr">
        <is>
          <t>Fee Dokter</t>
        </is>
      </c>
      <c r="G40" s="96" t="inlineStr">
        <is>
          <t>Fee Klinik</t>
        </is>
      </c>
      <c r="H40" s="96" t="inlineStr">
        <is>
          <t>Status
Pembayaran</t>
        </is>
      </c>
      <c r="I40" s="97" t="inlineStr">
        <is>
          <t>Tgl
Terakhir</t>
        </is>
      </c>
      <c r="J40" s="97" t="inlineStr">
        <is>
          <t>Sudah
Dibayar</t>
        </is>
      </c>
      <c r="K40" s="97" t="inlineStr">
        <is>
          <t>Sisa
(Rp)</t>
        </is>
      </c>
      <c r="L40" s="97" t="inlineStr">
        <is>
          <t>Catatan</t>
        </is>
      </c>
    </row>
    <row r="41" ht="18" customHeight="1" s="314">
      <c r="A41" s="100" t="inlineStr">
        <is>
          <t>1</t>
        </is>
      </c>
      <c r="B41" s="118" t="inlineStr">
        <is>
          <t>dr. ARIF</t>
        </is>
      </c>
      <c r="C41" s="100">
        <f>COUNTIF('Input Harian'!$C:$C,"dr. ARIF")</f>
        <v/>
      </c>
      <c r="D41" s="100">
        <f>H13</f>
        <v/>
      </c>
      <c r="E41" s="119">
        <f>I12</f>
        <v/>
      </c>
      <c r="F41" s="119">
        <f>J12</f>
        <v/>
      </c>
      <c r="G41" s="119">
        <f>K12</f>
        <v/>
      </c>
      <c r="H41" s="100">
        <f>'💰 Pembayaran Dokter'!E6</f>
        <v/>
      </c>
      <c r="I41" s="105">
        <f>'💰 Pembayaran Dokter'!F6</f>
        <v/>
      </c>
      <c r="J41" s="102">
        <f>'💰 Pembayaran Dokter'!C6</f>
        <v/>
      </c>
      <c r="K41" s="102">
        <f>F41-J41</f>
        <v/>
      </c>
      <c r="L41" s="105" t="n"/>
    </row>
    <row r="42" ht="18" customHeight="1" s="314">
      <c r="A42" s="106" t="inlineStr">
        <is>
          <t>2</t>
        </is>
      </c>
      <c r="B42" s="120" t="inlineStr">
        <is>
          <t>dr. HAWA</t>
        </is>
      </c>
      <c r="C42" s="106">
        <f>COUNTIF('Input Harian'!$C:$C,"dr. HAWA")</f>
        <v/>
      </c>
      <c r="D42" s="106">
        <f>H26</f>
        <v/>
      </c>
      <c r="E42" s="119">
        <f>I25</f>
        <v/>
      </c>
      <c r="F42" s="119">
        <f>J25</f>
        <v/>
      </c>
      <c r="G42" s="119">
        <f>K25</f>
        <v/>
      </c>
      <c r="H42" s="106">
        <f>'💰 Pembayaran Dokter'!E7</f>
        <v/>
      </c>
      <c r="I42" s="109">
        <f>'💰 Pembayaran Dokter'!F7</f>
        <v/>
      </c>
      <c r="J42" s="108">
        <f>'💰 Pembayaran Dokter'!C7</f>
        <v/>
      </c>
      <c r="K42" s="108">
        <f>F42-J42</f>
        <v/>
      </c>
      <c r="L42" s="109" t="n"/>
    </row>
    <row r="43" ht="15" customHeight="1" s="314">
      <c r="A43" s="100" t="inlineStr">
        <is>
          <t>3</t>
        </is>
      </c>
      <c r="B43" s="118" t="inlineStr">
        <is>
          <t>dr. JOJO</t>
        </is>
      </c>
      <c r="C43" s="100">
        <f>COUNTIF('Input Harian'!$C:$C,"dr. JOJO")</f>
        <v/>
      </c>
      <c r="D43" s="100">
        <f>H34</f>
        <v/>
      </c>
      <c r="E43" s="119">
        <f>I34</f>
        <v/>
      </c>
      <c r="F43" s="119">
        <f>J34</f>
        <v/>
      </c>
      <c r="G43" s="119">
        <f>K34</f>
        <v/>
      </c>
      <c r="H43" s="100">
        <f>'💰 Pembayaran Dokter'!E8</f>
        <v/>
      </c>
      <c r="I43" s="105">
        <f>'💰 Pembayaran Dokter'!F8</f>
        <v/>
      </c>
      <c r="J43" s="102">
        <f>'💰 Pembayaran Dokter'!C8</f>
        <v/>
      </c>
      <c r="K43" s="102">
        <f>F43-J43</f>
        <v/>
      </c>
      <c r="L43" s="105" t="n"/>
    </row>
  </sheetData>
  <mergeCells count="6">
    <mergeCell ref="A38:L38"/>
    <mergeCell ref="A2:L2"/>
    <mergeCell ref="A1:L1"/>
    <mergeCell ref="A27:L27"/>
    <mergeCell ref="A3:L3"/>
    <mergeCell ref="A35:L35"/>
  </mergeCells>
  <pageMargins left="0.25" right="0.25" top="0.75" bottom="0.75" header="0.3" footer="0.3"/>
  <pageSetup orientation="landscape" paperSize="9" scale="87" horizontalDpi="300" verticalDpi="300"/>
</worksheet>
</file>

<file path=xl/worksheets/sheet5.xml><?xml version="1.0" encoding="utf-8"?>
<worksheet xmlns="http://schemas.openxmlformats.org/spreadsheetml/2006/main">
  <sheetPr>
    <outlinePr summaryBelow="1" summaryRight="1"/>
    <pageSetUpPr/>
  </sheetPr>
  <dimension ref="A1:M52"/>
  <sheetViews>
    <sheetView topLeftCell="A7" zoomScaleNormal="100" workbookViewId="0">
      <selection activeCell="I6" sqref="I6"/>
    </sheetView>
  </sheetViews>
  <sheetFormatPr baseColWidth="8" defaultColWidth="8.7109375" defaultRowHeight="15"/>
  <cols>
    <col width="10.7109375" customWidth="1" style="314" min="1" max="1"/>
    <col width="16.7109375" customWidth="1" style="314" min="2" max="3"/>
    <col width="22" customWidth="1" style="314" min="4" max="4"/>
    <col width="22.140625" customWidth="1" style="314" min="5" max="5"/>
    <col width="18" customWidth="1" style="314" min="6" max="6"/>
    <col width="30" customWidth="1" style="314" min="7" max="7"/>
    <col width="22.5703125" customWidth="1" style="314" min="8" max="8"/>
    <col width="16" customWidth="1" style="314" min="9" max="9"/>
    <col width="13" customWidth="1" style="314" min="10" max="11"/>
    <col width="22" customWidth="1" style="314" min="12" max="12"/>
    <col width="19" bestFit="1" customWidth="1" style="314" min="13" max="13"/>
  </cols>
  <sheetData>
    <row r="1" ht="34.5" customHeight="1" s="314">
      <c r="A1" s="268" t="inlineStr">
        <is>
          <t>💰  SISTEM PEMBAYARAN FEE DOKTER</t>
        </is>
      </c>
    </row>
    <row r="2" ht="34.5" customHeight="1" s="314">
      <c r="A2" s="269" t="inlineStr">
        <is>
          <t>⚠️  PETUNJUK: Isi kolom KUNING untuk mencatat pembayaran. Setiap pembayaran yang sudah LUNAS akan ditandai ✅ dan TIDAK akan terakumulasi ke pembayaran periode berikutnya.</t>
        </is>
      </c>
    </row>
    <row r="4" ht="24.75" customHeight="1" s="314">
      <c r="A4" s="266" t="inlineStr">
        <is>
          <t>📊  STATUS SALDO FEE DOKTER — UPDATE OTOMATIS</t>
        </is>
      </c>
    </row>
    <row r="5" ht="34.5" customHeight="1" s="314">
      <c r="A5" s="121" t="inlineStr">
        <is>
          <t>Nama Dokter</t>
        </is>
      </c>
      <c r="B5" s="121" t="inlineStr">
        <is>
          <t>Total Fee
Terhitung (Rp)</t>
        </is>
      </c>
      <c r="C5" s="121" t="inlineStr">
        <is>
          <t>Total Sudah
Dibayar (Rp)</t>
        </is>
      </c>
      <c r="D5" s="121" t="inlineStr">
        <is>
          <t>Sisa Belum
Dibayar (Rp)</t>
        </is>
      </c>
      <c r="E5" s="121" t="inlineStr">
        <is>
          <t>Status Terkini</t>
        </is>
      </c>
      <c r="F5" s="121" t="inlineStr">
        <is>
          <t>Terakhir Dibayar</t>
        </is>
      </c>
      <c r="G5" s="121" t="inlineStr">
        <is>
          <t>Periode</t>
        </is>
      </c>
      <c r="H5" s="121" t="inlineStr">
        <is>
          <t>KETERANGAN</t>
        </is>
      </c>
    </row>
    <row r="6" ht="21.75" customHeight="1" s="314">
      <c r="A6" s="122" t="inlineStr">
        <is>
          <t>dr. ARIF</t>
        </is>
      </c>
      <c r="B6" s="123">
        <f>SUMIF('Input Harian'!$C:$C,A6,'Input Harian'!$P:$P)</f>
        <v/>
      </c>
      <c r="C6" s="124">
        <f>SUMIF($B$19:$B$500,A6,$D$19:$D$500)</f>
        <v/>
      </c>
      <c r="D6" s="125">
        <f>B6-C6</f>
        <v/>
      </c>
      <c r="E6" s="126">
        <f>IF(C6&gt;=B6,"✅ LUNAS",IF(C6&gt;0,"🔵 SEBAGIAN ("&amp;TEXT(C6/B6*100,"0.0")&amp;"%)","⏳ BELUM DIBAYAR"))</f>
        <v/>
      </c>
      <c r="F6" s="127">
        <f>IF(COUNTIF($B$19:$B$500,A6)=0,"-",TEXT(LOOKUP(2,1/($B$19:$B$500=A6),$C$19:$C$500),"DD MMM YYYY"))</f>
        <v/>
      </c>
      <c r="G6" s="128" t="inlineStr">
        <is>
          <t>Apr - Mei 2026</t>
        </is>
      </c>
      <c r="H6" s="109" t="inlineStr">
        <is>
          <t>guarantee fee 200rb</t>
        </is>
      </c>
    </row>
    <row r="7" ht="21.75" customHeight="1" s="314">
      <c r="A7" s="122" t="inlineStr">
        <is>
          <t>dr. HAWA</t>
        </is>
      </c>
      <c r="B7" s="123">
        <f>SUMIF('Input Harian'!$C:$C,A7,'Input Harian'!$P:$P)</f>
        <v/>
      </c>
      <c r="C7" s="124">
        <f>SUMIF($B$19:$B$500,A7,$D$19:$D$500)</f>
        <v/>
      </c>
      <c r="D7" s="125">
        <f>B7-C7</f>
        <v/>
      </c>
      <c r="E7" s="126">
        <f>IF(C7&gt;=B7,"✅ LUNAS",IF(C7&gt;0,"🔵 SEBAGIAN ("&amp;TEXT(C7/B7*100,"0.0")&amp;"%)","⏳ BELUM DIBAYAR"))</f>
        <v/>
      </c>
      <c r="F7" s="127">
        <f>IF(COUNTIF($B$19:$B$500,A7)=0,"-",TEXT(LOOKUP(2,1/($B$19:$B$500=A7),$C$19:$C$500),"DD MMM YYYY"))</f>
        <v/>
      </c>
      <c r="G7" s="128" t="inlineStr">
        <is>
          <t>Apr - Mei 2026</t>
        </is>
      </c>
    </row>
    <row r="8" ht="21.75" customHeight="1" s="314">
      <c r="A8" s="122" t="inlineStr">
        <is>
          <t>dr. JOJO</t>
        </is>
      </c>
      <c r="B8" s="123">
        <f>SUMIF('Input Harian'!$C:$C,A8,'Input Harian'!$P:$P)</f>
        <v/>
      </c>
      <c r="C8" s="124">
        <f>SUMIF($B$19:$B$500,A8,$D$19:$D$500)</f>
        <v/>
      </c>
      <c r="D8" s="125">
        <f>B8-C8</f>
        <v/>
      </c>
      <c r="E8" s="126">
        <f>IF(C8&gt;=B8,"✅ LUNAS",IF(C8&gt;0,"🔵 SEBAGIAN ("&amp;TEXT(C8/B8*100,"0.0")&amp;"%)","⏳ BELUM DIBAYAR"))</f>
        <v/>
      </c>
      <c r="F8" s="127">
        <f>IF(COUNTIF($B$19:$B$500,A8)=0,"-",TEXT(LOOKUP(2,1/($B$19:$B$500=A8),$C$19:$C$500),"DD MMM YYYY"))</f>
        <v/>
      </c>
      <c r="G8" s="128" t="inlineStr">
        <is>
          <t>Apr - Mei 2026</t>
        </is>
      </c>
    </row>
    <row r="9" ht="15" customHeight="1" s="314">
      <c r="A9" s="129" t="inlineStr">
        <is>
          <t>GRAND TOTAL</t>
        </is>
      </c>
      <c r="B9" s="130">
        <f>SUM(B6:B8)</f>
        <v/>
      </c>
      <c r="C9" s="130">
        <f>SUM(C6:C8)</f>
        <v/>
      </c>
      <c r="D9" s="130">
        <f>SUM(D6:D8)</f>
        <v/>
      </c>
      <c r="E9" s="131" t="n"/>
      <c r="F9" s="131" t="n"/>
      <c r="G9" s="131" t="n"/>
      <c r="H9" s="131" t="n"/>
      <c r="I9" s="131" t="n"/>
      <c r="J9" s="131" t="n"/>
      <c r="K9" s="131" t="n"/>
      <c r="L9" s="131" t="n"/>
    </row>
    <row r="11" ht="18" customHeight="1" s="314">
      <c r="A11" s="270" t="inlineStr">
        <is>
          <t>🔒  CARA KERJA SISTEM PEMBAYARAN TERPISAH PER PERIODE:</t>
        </is>
      </c>
    </row>
    <row r="12" ht="18" customHeight="1" s="314">
      <c r="A12" s="265" t="inlineStr">
        <is>
          <t xml:space="preserve">  1️⃣  Setiap ada pembayaran ke dokter → tambah baris baru di tabel RIWAYAT PEMBAYARAN di bawah (isi kolom kuning)</t>
        </is>
      </c>
    </row>
    <row r="13" ht="18" customHeight="1" s="314">
      <c r="A13" s="265" t="inlineStr">
        <is>
          <t xml:space="preserve">  2️⃣  Kolom "Saldo Sisa Otomatis" menghitung sisa fee setelah setiap transaksi secara real-time</t>
        </is>
      </c>
    </row>
    <row r="14" ht="18" customHeight="1" s="314">
      <c r="A14" s="265" t="inlineStr">
        <is>
          <t xml:space="preserve">  3️⃣  Status ✅ LUNAS muncul otomatis saat total bayar sudah &gt;= total fee. Nominal yg sudah LUNAS TIDAK akan masuk akumulasi periode berikutnya</t>
        </is>
      </c>
    </row>
    <row r="15" ht="18" customHeight="1" s="314">
      <c r="A15" s="265" t="inlineStr">
        <is>
          <t xml:space="preserve">  4️⃣  Untuk periode baru (bulan baru): update kolom G "Periode" (baris 6-8) dan mulai dari baris riwayat baru</t>
        </is>
      </c>
    </row>
    <row r="17" ht="24.75" customHeight="1" s="314">
      <c r="A17" s="266" t="inlineStr">
        <is>
          <t>📋  RIWAYAT PEMBAYARAN KE DOKTER  (Tambah baris baru setiap ada transaksi pembayaran)</t>
        </is>
      </c>
    </row>
    <row r="18" ht="39.75" customHeight="1" s="314">
      <c r="A18" s="121" t="inlineStr">
        <is>
          <t>No</t>
        </is>
      </c>
      <c r="B18" s="121" t="inlineStr">
        <is>
          <t>Nama Dokter
▼ dropdown</t>
        </is>
      </c>
      <c r="C18" s="121" t="inlineStr">
        <is>
          <t>Tanggal
Pembayaran</t>
        </is>
      </c>
      <c r="D18" s="121" t="inlineStr">
        <is>
          <t>Jumlah Dibayar
(Rp)</t>
        </is>
      </c>
      <c r="E18" s="121" t="inlineStr">
        <is>
          <t>Metode
▼ dropdown</t>
        </is>
      </c>
      <c r="F18" s="121" t="inlineStr">
        <is>
          <t>Periode
Dibayar</t>
        </is>
      </c>
      <c r="G18" s="121" t="inlineStr">
        <is>
          <t>Keterangan / No. Bukti Transfer</t>
        </is>
      </c>
      <c r="H18" s="121" t="inlineStr">
        <is>
          <t>Dicatat
Oleh</t>
        </is>
      </c>
      <c r="I18" s="121" t="inlineStr">
        <is>
          <t>Status
Otomatis</t>
        </is>
      </c>
      <c r="J18" s="121" t="inlineStr">
        <is>
          <t>✓ Tanda
Terima</t>
        </is>
      </c>
      <c r="K18" s="121" t="inlineStr">
        <is>
          <t>Verifikasi</t>
        </is>
      </c>
      <c r="L18" s="121" t="inlineStr">
        <is>
          <t>Saldo Sisa Dokter
Otomatis (Rp)</t>
        </is>
      </c>
      <c r="M18" s="121" t="inlineStr">
        <is>
          <t>KETERANGAN</t>
        </is>
      </c>
    </row>
    <row r="19" ht="21.75" customHeight="1" s="314">
      <c r="A19" s="132">
        <f>IF(B19&lt;&gt;"",COUNTA($B$19:B19),"" )</f>
        <v/>
      </c>
      <c r="B19" s="133" t="inlineStr">
        <is>
          <t>dr. JOJO</t>
        </is>
      </c>
      <c r="C19" s="134" t="n">
        <v>46153</v>
      </c>
      <c r="D19" s="135" t="n">
        <v>3550000</v>
      </c>
      <c r="E19" s="128" t="inlineStr">
        <is>
          <t>Cash</t>
        </is>
      </c>
      <c r="F19" s="128" t="n"/>
      <c r="G19" s="136" t="n"/>
      <c r="H19" s="128" t="n"/>
      <c r="I19" s="137">
        <f>IF(B19="","",IF(D19&gt;0,"✔ Tercatat","— "))</f>
        <v/>
      </c>
      <c r="J19" s="128" t="n"/>
      <c r="K19" s="128" t="n"/>
      <c r="L19" s="138">
        <f>IF(B19="","",IFERROR(SUMIF($A$6:$A$8,B19,$B$6:$B$8)-SUMIF($B$19:B19,B19,$D$19:D19),""))</f>
        <v/>
      </c>
    </row>
    <row r="20" ht="21.75" customHeight="1" s="314">
      <c r="A20" s="132">
        <f>IF(B20&lt;&gt;"",COUNTA($B$19:B20),"" )</f>
        <v/>
      </c>
      <c r="B20" s="133" t="inlineStr">
        <is>
          <t>dr. HAWA</t>
        </is>
      </c>
      <c r="C20" s="134" t="n">
        <v>46154</v>
      </c>
      <c r="D20" s="135" t="n">
        <v>7445000</v>
      </c>
      <c r="E20" s="128" t="inlineStr">
        <is>
          <t>Cash</t>
        </is>
      </c>
      <c r="F20" s="128" t="n"/>
      <c r="G20" s="136" t="n"/>
      <c r="H20" s="128" t="n"/>
      <c r="I20" s="137">
        <f>IF(B20="","",IF(D20&gt;0,"✔ Tercatat","— "))</f>
        <v/>
      </c>
      <c r="J20" s="128" t="n"/>
      <c r="K20" s="128" t="n"/>
      <c r="L20" s="138">
        <f>IF(B20="","",IFERROR(SUMIF($A$6:$A$8,B20,$B$6:$B$8)-SUMIF($B$19:B20,B20,$D$19:D20),""))</f>
        <v/>
      </c>
    </row>
    <row r="21" ht="21.75" customHeight="1" s="314">
      <c r="A21" s="132" t="n">
        <v>3</v>
      </c>
      <c r="B21" s="133" t="inlineStr">
        <is>
          <t>dr. ARIF</t>
        </is>
      </c>
      <c r="C21" s="134" t="n">
        <v>46156</v>
      </c>
      <c r="D21" s="135" t="n">
        <v>6905000</v>
      </c>
      <c r="E21" s="128" t="inlineStr">
        <is>
          <t>Cash</t>
        </is>
      </c>
      <c r="F21" s="128" t="n"/>
      <c r="G21" s="136" t="n"/>
      <c r="H21" s="128" t="n"/>
      <c r="I21" s="137">
        <f>IF(B21="","",IF(D21&gt;0,"✔ Tercatat","— "))</f>
        <v/>
      </c>
      <c r="J21" s="128" t="n"/>
      <c r="K21" s="128" t="n"/>
      <c r="L21" s="138">
        <f>IF(B21="","",IFERROR(SUMIF($A$6:$A$8,B21,$B$6:$B$8)-SUMIF($B$19:B21,B21,$D$19:D21),""))</f>
        <v/>
      </c>
      <c r="M21" s="109" t="inlineStr">
        <is>
          <t>guarantee fee 200rb</t>
        </is>
      </c>
    </row>
    <row r="22" ht="21.75" customHeight="1" s="314">
      <c r="A22" s="132">
        <f>IF(B22&lt;&gt;"",COUNTA($B$19:B22),"" )</f>
        <v/>
      </c>
      <c r="B22" s="133" t="n"/>
      <c r="C22" s="134" t="n"/>
      <c r="D22" s="135" t="n"/>
      <c r="E22" s="128" t="n"/>
      <c r="F22" s="128" t="n"/>
      <c r="G22" s="136" t="n"/>
      <c r="H22" s="128" t="n"/>
      <c r="I22" s="137">
        <f>IF(B22="","",IF(D22&gt;0,"✔ Tercatat","— "))</f>
        <v/>
      </c>
      <c r="J22" s="128" t="n"/>
      <c r="K22" s="128" t="n"/>
      <c r="L22" s="138">
        <f>IF(B22="","",IFERROR(SUMIF($A$6:$A$8,B22,$B$6:$B$8)-SUMIF($B$19:B22,B22,$D$19:D22),""))</f>
        <v/>
      </c>
    </row>
    <row r="23" ht="21.75" customHeight="1" s="314">
      <c r="A23" s="132">
        <f>IF(B23&lt;&gt;"",COUNTA($B$19:B23),"" )</f>
        <v/>
      </c>
      <c r="B23" s="133" t="n"/>
      <c r="C23" s="134" t="n"/>
      <c r="D23" s="135" t="n"/>
      <c r="E23" s="128" t="n"/>
      <c r="F23" s="128" t="n"/>
      <c r="G23" s="136" t="n"/>
      <c r="H23" s="128" t="n"/>
      <c r="I23" s="137">
        <f>IF(B23="","",IF(D23&gt;0,"✔ Tercatat","— "))</f>
        <v/>
      </c>
      <c r="J23" s="128" t="n"/>
      <c r="K23" s="128" t="n"/>
      <c r="L23" s="138">
        <f>IF(B23="","",IFERROR(SUMIF($A$6:$A$8,B23,$B$6:$B$8)-SUMIF($B$19:B23,B23,$D$19:D23),""))</f>
        <v/>
      </c>
    </row>
    <row r="24" ht="21.75" customHeight="1" s="314">
      <c r="A24" s="132">
        <f>IF(B24&lt;&gt;"",COUNTA($B$19:B24),"" )</f>
        <v/>
      </c>
      <c r="B24" s="133" t="n"/>
      <c r="C24" s="134" t="n"/>
      <c r="D24" s="135" t="n"/>
      <c r="E24" s="128" t="n"/>
      <c r="F24" s="128" t="n"/>
      <c r="G24" s="136" t="n"/>
      <c r="H24" s="128" t="n"/>
      <c r="I24" s="137">
        <f>IF(B24="","",IF(D24&gt;0,"✔ Tercatat","— "))</f>
        <v/>
      </c>
      <c r="J24" s="128" t="n"/>
      <c r="K24" s="128" t="n"/>
      <c r="L24" s="138">
        <f>IF(B24="","",IFERROR(SUMIF($A$6:$A$8,B24,$B$6:$B$8)-SUMIF($B$19:B24,B24,$D$19:D24),""))</f>
        <v/>
      </c>
    </row>
    <row r="25" ht="21.75" customHeight="1" s="314">
      <c r="A25" s="132">
        <f>IF(B25&lt;&gt;"",COUNTA($B$19:B25),"" )</f>
        <v/>
      </c>
      <c r="B25" s="133" t="n"/>
      <c r="C25" s="134" t="n"/>
      <c r="D25" s="135" t="n"/>
      <c r="E25" s="128" t="n"/>
      <c r="F25" s="128" t="n"/>
      <c r="G25" s="136" t="n"/>
      <c r="H25" s="128" t="n"/>
      <c r="I25" s="137">
        <f>IF(B25="","",IF(D25&gt;0,"✔ Tercatat","— "))</f>
        <v/>
      </c>
      <c r="J25" s="128" t="n"/>
      <c r="K25" s="128" t="n"/>
      <c r="L25" s="138">
        <f>IF(B25="","",IFERROR(SUMIF($A$6:$A$8,B25,$B$6:$B$8)-SUMIF($B$19:B25,B25,$D$19:D25),""))</f>
        <v/>
      </c>
    </row>
    <row r="26" ht="21.75" customHeight="1" s="314">
      <c r="A26" s="132">
        <f>IF(B26&lt;&gt;"",COUNTA($B$19:B26),"" )</f>
        <v/>
      </c>
      <c r="B26" s="133" t="n"/>
      <c r="C26" s="134" t="n"/>
      <c r="D26" s="135" t="n"/>
      <c r="E26" s="128" t="n"/>
      <c r="F26" s="128" t="n"/>
      <c r="G26" s="136" t="n"/>
      <c r="H26" s="128" t="n"/>
      <c r="I26" s="137">
        <f>IF(B26="","",IF(D26&gt;0,"✔ Tercatat","— "))</f>
        <v/>
      </c>
      <c r="J26" s="128" t="n"/>
      <c r="K26" s="128" t="n"/>
      <c r="L26" s="138">
        <f>IF(B26="","",IFERROR(SUMIF($A$6:$A$8,B26,$B$6:$B$8)-SUMIF($B$19:B26,B26,$D$19:D26),""))</f>
        <v/>
      </c>
    </row>
    <row r="27" ht="21.75" customHeight="1" s="314">
      <c r="A27" s="132">
        <f>IF(B27&lt;&gt;"",COUNTA($B$19:B27),"" )</f>
        <v/>
      </c>
      <c r="B27" s="133" t="n"/>
      <c r="C27" s="134" t="n"/>
      <c r="D27" s="135" t="n"/>
      <c r="E27" s="128" t="n"/>
      <c r="F27" s="128" t="n"/>
      <c r="G27" s="136" t="n"/>
      <c r="H27" s="128" t="n"/>
      <c r="I27" s="137">
        <f>IF(B27="","",IF(D27&gt;0,"✔ Tercatat","— "))</f>
        <v/>
      </c>
      <c r="J27" s="128" t="n"/>
      <c r="K27" s="128" t="n"/>
      <c r="L27" s="138">
        <f>IF(B27="","",IFERROR(SUMIF($A$6:$A$8,B27,$B$6:$B$8)-SUMIF($B$19:B27,B27,$D$19:D27),""))</f>
        <v/>
      </c>
    </row>
    <row r="28" ht="21.75" customHeight="1" s="314">
      <c r="A28" s="132">
        <f>IF(B28&lt;&gt;"",COUNTA($B$19:B28),"" )</f>
        <v/>
      </c>
      <c r="B28" s="133" t="n"/>
      <c r="C28" s="134" t="n"/>
      <c r="D28" s="135" t="n"/>
      <c r="E28" s="128" t="n"/>
      <c r="F28" s="128" t="n"/>
      <c r="G28" s="136" t="n"/>
      <c r="H28" s="128" t="n"/>
      <c r="I28" s="137">
        <f>IF(B28="","",IF(D28&gt;0,"✔ Tercatat","— "))</f>
        <v/>
      </c>
      <c r="J28" s="128" t="n"/>
      <c r="K28" s="128" t="n"/>
      <c r="L28" s="138">
        <f>IF(B28="","",IFERROR(SUMIF($A$6:$A$8,B28,$B$6:$B$8)-SUMIF($B$19:B28,B28,$D$19:D28),""))</f>
        <v/>
      </c>
    </row>
    <row r="29" ht="21.75" customHeight="1" s="314">
      <c r="A29" s="132">
        <f>IF(B29&lt;&gt;"",COUNTA($B$19:B29),"" )</f>
        <v/>
      </c>
      <c r="B29" s="133" t="n"/>
      <c r="C29" s="134" t="n"/>
      <c r="D29" s="135" t="n"/>
      <c r="E29" s="128" t="n"/>
      <c r="F29" s="128" t="n"/>
      <c r="G29" s="136" t="n"/>
      <c r="H29" s="128" t="n"/>
      <c r="I29" s="137">
        <f>IF(B29="","",IF(D29&gt;0,"✔ Tercatat","— "))</f>
        <v/>
      </c>
      <c r="J29" s="128" t="n"/>
      <c r="K29" s="128" t="n"/>
      <c r="L29" s="138">
        <f>IF(B29="","",IFERROR(SUMIF($A$6:$A$8,B29,$B$6:$B$8)-SUMIF($B$19:B29,B29,$D$19:D29),""))</f>
        <v/>
      </c>
    </row>
    <row r="30" ht="21.75" customHeight="1" s="314">
      <c r="A30" s="132">
        <f>IF(B30&lt;&gt;"",COUNTA($B$19:B30),"" )</f>
        <v/>
      </c>
      <c r="B30" s="133" t="n"/>
      <c r="C30" s="134" t="n"/>
      <c r="D30" s="135" t="n"/>
      <c r="E30" s="128" t="n"/>
      <c r="F30" s="128" t="n"/>
      <c r="G30" s="136" t="n"/>
      <c r="H30" s="128" t="n"/>
      <c r="I30" s="137">
        <f>IF(B30="","",IF(D30&gt;0,"✔ Tercatat","— "))</f>
        <v/>
      </c>
      <c r="J30" s="128" t="n"/>
      <c r="K30" s="128" t="n"/>
      <c r="L30" s="138">
        <f>IF(B30="","",IFERROR(SUMIF($A$6:$A$8,B30,$B$6:$B$8)-SUMIF($B$19:B30,B30,$D$19:D30),""))</f>
        <v/>
      </c>
    </row>
    <row r="31" ht="21.75" customHeight="1" s="314">
      <c r="A31" s="132">
        <f>IF(B31&lt;&gt;"",COUNTA($B$19:B31),"" )</f>
        <v/>
      </c>
      <c r="B31" s="133" t="n"/>
      <c r="C31" s="134" t="n"/>
      <c r="D31" s="135" t="n"/>
      <c r="E31" s="128" t="n"/>
      <c r="F31" s="128" t="n"/>
      <c r="G31" s="136" t="n"/>
      <c r="H31" s="128" t="n"/>
      <c r="I31" s="137">
        <f>IF(B31="","",IF(D31&gt;0,"✔ Tercatat","— "))</f>
        <v/>
      </c>
      <c r="J31" s="128" t="n"/>
      <c r="K31" s="128" t="n"/>
      <c r="L31" s="138">
        <f>IF(B31="","",IFERROR(SUMIF($A$6:$A$8,B31,$B$6:$B$8)-SUMIF($B$19:B31,B31,$D$19:D31),""))</f>
        <v/>
      </c>
    </row>
    <row r="32" ht="21.75" customHeight="1" s="314">
      <c r="A32" s="132">
        <f>IF(B32&lt;&gt;"",COUNTA($B$19:B32),"" )</f>
        <v/>
      </c>
      <c r="B32" s="133" t="n"/>
      <c r="C32" s="134" t="n"/>
      <c r="D32" s="135" t="n"/>
      <c r="E32" s="128" t="n"/>
      <c r="F32" s="128" t="n"/>
      <c r="G32" s="136" t="n"/>
      <c r="H32" s="128" t="n"/>
      <c r="I32" s="137">
        <f>IF(B32="","",IF(D32&gt;0,"✔ Tercatat","— "))</f>
        <v/>
      </c>
      <c r="J32" s="128" t="n"/>
      <c r="K32" s="128" t="n"/>
      <c r="L32" s="138">
        <f>IF(B32="","",IFERROR(SUMIF($A$6:$A$8,B32,$B$6:$B$8)-SUMIF($B$19:B32,B32,$D$19:D32),""))</f>
        <v/>
      </c>
    </row>
    <row r="33" ht="21.75" customHeight="1" s="314">
      <c r="A33" s="132">
        <f>IF(B33&lt;&gt;"",COUNTA($B$19:B33),"" )</f>
        <v/>
      </c>
      <c r="B33" s="133" t="n"/>
      <c r="C33" s="134" t="n"/>
      <c r="D33" s="135" t="n"/>
      <c r="E33" s="128" t="n"/>
      <c r="F33" s="128" t="n"/>
      <c r="G33" s="136" t="n"/>
      <c r="H33" s="128" t="n"/>
      <c r="I33" s="137">
        <f>IF(B33="","",IF(D33&gt;0,"✔ Tercatat","— "))</f>
        <v/>
      </c>
      <c r="J33" s="128" t="n"/>
      <c r="K33" s="128" t="n"/>
      <c r="L33" s="138">
        <f>IF(B33="","",IFERROR(SUMIF($A$6:$A$8,B33,$B$6:$B$8)-SUMIF($B$19:B33,B33,$D$19:D33),""))</f>
        <v/>
      </c>
    </row>
    <row r="34" ht="21.75" customHeight="1" s="314">
      <c r="A34" s="132">
        <f>IF(B34&lt;&gt;"",COUNTA($B$19:B34),"" )</f>
        <v/>
      </c>
      <c r="B34" s="133" t="n"/>
      <c r="C34" s="134" t="n"/>
      <c r="D34" s="135" t="n"/>
      <c r="E34" s="128" t="n"/>
      <c r="F34" s="128" t="n"/>
      <c r="G34" s="136" t="n"/>
      <c r="H34" s="128" t="n"/>
      <c r="I34" s="137">
        <f>IF(B34="","",IF(D34&gt;0,"✔ Tercatat","— "))</f>
        <v/>
      </c>
      <c r="J34" s="128" t="n"/>
      <c r="K34" s="128" t="n"/>
      <c r="L34" s="138">
        <f>IF(B34="","",IFERROR(SUMIF($A$6:$A$8,B34,$B$6:$B$8)-SUMIF($B$19:B34,B34,$D$19:D34),""))</f>
        <v/>
      </c>
    </row>
    <row r="35" ht="21.75" customHeight="1" s="314">
      <c r="A35" s="132">
        <f>IF(B35&lt;&gt;"",COUNTA($B$19:B35),"" )</f>
        <v/>
      </c>
      <c r="B35" s="133" t="n"/>
      <c r="C35" s="134" t="n"/>
      <c r="D35" s="135" t="n"/>
      <c r="E35" s="128" t="n"/>
      <c r="F35" s="128" t="n"/>
      <c r="G35" s="136" t="n"/>
      <c r="H35" s="128" t="n"/>
      <c r="I35" s="137">
        <f>IF(B35="","",IF(D35&gt;0,"✔ Tercatat","— "))</f>
        <v/>
      </c>
      <c r="J35" s="128" t="n"/>
      <c r="K35" s="128" t="n"/>
      <c r="L35" s="138">
        <f>IF(B35="","",IFERROR(SUMIF($A$6:$A$8,B35,$B$6:$B$8)-SUMIF($B$19:B35,B35,$D$19:D35),""))</f>
        <v/>
      </c>
    </row>
    <row r="36" ht="21.75" customHeight="1" s="314">
      <c r="A36" s="132">
        <f>IF(B36&lt;&gt;"",COUNTA($B$19:B36),"" )</f>
        <v/>
      </c>
      <c r="B36" s="133" t="n"/>
      <c r="C36" s="134" t="n"/>
      <c r="D36" s="135" t="n"/>
      <c r="E36" s="128" t="n"/>
      <c r="F36" s="128" t="n"/>
      <c r="G36" s="136" t="n"/>
      <c r="H36" s="128" t="n"/>
      <c r="I36" s="137">
        <f>IF(B36="","",IF(D36&gt;0,"✔ Tercatat","— "))</f>
        <v/>
      </c>
      <c r="J36" s="128" t="n"/>
      <c r="K36" s="128" t="n"/>
      <c r="L36" s="138">
        <f>IF(B36="","",IFERROR(SUMIF($A$6:$A$8,B36,$B$6:$B$8)-SUMIF($B$19:B36,B36,$D$19:D36),""))</f>
        <v/>
      </c>
    </row>
    <row r="37" ht="21.75" customHeight="1" s="314">
      <c r="A37" s="132">
        <f>IF(B37&lt;&gt;"",COUNTA($B$19:B37),"" )</f>
        <v/>
      </c>
      <c r="B37" s="133" t="n"/>
      <c r="C37" s="134" t="n"/>
      <c r="D37" s="135" t="n"/>
      <c r="E37" s="128" t="n"/>
      <c r="F37" s="128" t="n"/>
      <c r="G37" s="136" t="n"/>
      <c r="H37" s="128" t="n"/>
      <c r="I37" s="137">
        <f>IF(B37="","",IF(D37&gt;0,"✔ Tercatat","— "))</f>
        <v/>
      </c>
      <c r="J37" s="128" t="n"/>
      <c r="K37" s="128" t="n"/>
      <c r="L37" s="138">
        <f>IF(B37="","",IFERROR(SUMIF($A$6:$A$8,B37,$B$6:$B$8)-SUMIF($B$19:B37,B37,$D$19:D37),""))</f>
        <v/>
      </c>
    </row>
    <row r="38" ht="21.75" customHeight="1" s="314">
      <c r="A38" s="132">
        <f>IF(B38&lt;&gt;"",COUNTA($B$19:B38),"" )</f>
        <v/>
      </c>
      <c r="B38" s="133" t="n"/>
      <c r="C38" s="134" t="n"/>
      <c r="D38" s="135" t="n"/>
      <c r="E38" s="128" t="n"/>
      <c r="F38" s="128" t="n"/>
      <c r="G38" s="136" t="n"/>
      <c r="H38" s="128" t="n"/>
      <c r="I38" s="137">
        <f>IF(B38="","",IF(D38&gt;0,"✔ Tercatat","— "))</f>
        <v/>
      </c>
      <c r="J38" s="128" t="n"/>
      <c r="K38" s="128" t="n"/>
      <c r="L38" s="138">
        <f>IF(B38="","",IFERROR(SUMIF($A$6:$A$8,B38,$B$6:$B$8)-SUMIF($B$19:B38,B38,$D$19:D38),""))</f>
        <v/>
      </c>
    </row>
    <row r="39" ht="21.75" customHeight="1" s="314">
      <c r="A39" s="132">
        <f>IF(B39&lt;&gt;"",COUNTA($B$19:B39),"" )</f>
        <v/>
      </c>
      <c r="B39" s="133" t="n"/>
      <c r="C39" s="134" t="n"/>
      <c r="D39" s="135" t="n"/>
      <c r="E39" s="128" t="n"/>
      <c r="F39" s="128" t="n"/>
      <c r="G39" s="136" t="n"/>
      <c r="H39" s="128" t="n"/>
      <c r="I39" s="137">
        <f>IF(B39="","",IF(D39&gt;0,"✔ Tercatat","— "))</f>
        <v/>
      </c>
      <c r="J39" s="128" t="n"/>
      <c r="K39" s="128" t="n"/>
      <c r="L39" s="138">
        <f>IF(B39="","",IFERROR(SUMIF($A$6:$A$8,B39,$B$6:$B$8)-SUMIF($B$19:B39,B39,$D$19:D39),""))</f>
        <v/>
      </c>
    </row>
    <row r="40" ht="21.75" customHeight="1" s="314">
      <c r="A40" s="132">
        <f>IF(B40&lt;&gt;"",COUNTA($B$19:B40),"" )</f>
        <v/>
      </c>
      <c r="B40" s="133" t="n"/>
      <c r="C40" s="134" t="n"/>
      <c r="D40" s="135" t="n"/>
      <c r="E40" s="128" t="n"/>
      <c r="F40" s="128" t="n"/>
      <c r="G40" s="136" t="n"/>
      <c r="H40" s="128" t="n"/>
      <c r="I40" s="137">
        <f>IF(B40="","",IF(D40&gt;0,"✔ Tercatat","— "))</f>
        <v/>
      </c>
      <c r="J40" s="128" t="n"/>
      <c r="K40" s="128" t="n"/>
      <c r="L40" s="138">
        <f>IF(B40="","",IFERROR(SUMIF($A$6:$A$8,B40,$B$6:$B$8)-SUMIF($B$19:B40,B40,$D$19:D40),""))</f>
        <v/>
      </c>
    </row>
    <row r="41" ht="21.75" customHeight="1" s="314">
      <c r="A41" s="132">
        <f>IF(B41&lt;&gt;"",COUNTA($B$19:B41),"" )</f>
        <v/>
      </c>
      <c r="B41" s="133" t="n"/>
      <c r="C41" s="134" t="n"/>
      <c r="D41" s="135" t="n"/>
      <c r="E41" s="128" t="n"/>
      <c r="F41" s="128" t="n"/>
      <c r="G41" s="136" t="n"/>
      <c r="H41" s="128" t="n"/>
      <c r="I41" s="137">
        <f>IF(B41="","",IF(D41&gt;0,"✔ Tercatat","— "))</f>
        <v/>
      </c>
      <c r="J41" s="128" t="n"/>
      <c r="K41" s="128" t="n"/>
      <c r="L41" s="138">
        <f>IF(B41="","",IFERROR(SUMIF($A$6:$A$8,B41,$B$6:$B$8)-SUMIF($B$19:B41,B41,$D$19:D41),""))</f>
        <v/>
      </c>
    </row>
    <row r="42" ht="21.75" customHeight="1" s="314">
      <c r="A42" s="132">
        <f>IF(B42&lt;&gt;"",COUNTA($B$19:B42),"" )</f>
        <v/>
      </c>
      <c r="B42" s="133" t="n"/>
      <c r="C42" s="134" t="n"/>
      <c r="D42" s="135" t="n"/>
      <c r="E42" s="128" t="n"/>
      <c r="F42" s="128" t="n"/>
      <c r="G42" s="136" t="n"/>
      <c r="H42" s="128" t="n"/>
      <c r="I42" s="137">
        <f>IF(B42="","",IF(D42&gt;0,"✔ Tercatat","— "))</f>
        <v/>
      </c>
      <c r="J42" s="128" t="n"/>
      <c r="K42" s="128" t="n"/>
      <c r="L42" s="138">
        <f>IF(B42="","",IFERROR(SUMIF($A$6:$A$8,B42,$B$6:$B$8)-SUMIF($B$19:B42,B42,$D$19:D42),""))</f>
        <v/>
      </c>
    </row>
    <row r="43" ht="21.75" customHeight="1" s="314">
      <c r="A43" s="132">
        <f>IF(B43&lt;&gt;"",COUNTA($B$19:B43),"" )</f>
        <v/>
      </c>
      <c r="B43" s="133" t="n"/>
      <c r="C43" s="134" t="n"/>
      <c r="D43" s="135" t="n"/>
      <c r="E43" s="128" t="n"/>
      <c r="F43" s="128" t="n"/>
      <c r="G43" s="136" t="n"/>
      <c r="H43" s="128" t="n"/>
      <c r="I43" s="137">
        <f>IF(B43="","",IF(D43&gt;0,"✔ Tercatat","— "))</f>
        <v/>
      </c>
      <c r="J43" s="128" t="n"/>
      <c r="K43" s="128" t="n"/>
      <c r="L43" s="138">
        <f>IF(B43="","",IFERROR(SUMIF($A$6:$A$8,B43,$B$6:$B$8)-SUMIF($B$19:B43,B43,$D$19:D43),""))</f>
        <v/>
      </c>
    </row>
    <row r="44" ht="21.75" customHeight="1" s="314">
      <c r="A44" s="132">
        <f>IF(B44&lt;&gt;"",COUNTA($B$19:B44),"" )</f>
        <v/>
      </c>
      <c r="B44" s="133" t="n"/>
      <c r="C44" s="134" t="n"/>
      <c r="D44" s="135" t="n"/>
      <c r="E44" s="128" t="n"/>
      <c r="F44" s="128" t="n"/>
      <c r="G44" s="136" t="n"/>
      <c r="H44" s="128" t="n"/>
      <c r="I44" s="137">
        <f>IF(B44="","",IF(D44&gt;0,"✔ Tercatat","— "))</f>
        <v/>
      </c>
      <c r="J44" s="128" t="n"/>
      <c r="K44" s="128" t="n"/>
      <c r="L44" s="138">
        <f>IF(B44="","",IFERROR(SUMIF($A$6:$A$8,B44,$B$6:$B$8)-SUMIF($B$19:B44,B44,$D$19:D44),""))</f>
        <v/>
      </c>
    </row>
    <row r="45" ht="21.75" customHeight="1" s="314">
      <c r="A45" s="132">
        <f>IF(B45&lt;&gt;"",COUNTA($B$19:B45),"" )</f>
        <v/>
      </c>
      <c r="B45" s="133" t="n"/>
      <c r="C45" s="134" t="n"/>
      <c r="D45" s="135" t="n"/>
      <c r="E45" s="128" t="n"/>
      <c r="F45" s="128" t="n"/>
      <c r="G45" s="136" t="n"/>
      <c r="H45" s="128" t="n"/>
      <c r="I45" s="137">
        <f>IF(B45="","",IF(D45&gt;0,"✔ Tercatat","— "))</f>
        <v/>
      </c>
      <c r="J45" s="128" t="n"/>
      <c r="K45" s="128" t="n"/>
      <c r="L45" s="138">
        <f>IF(B45="","",IFERROR(SUMIF($A$6:$A$8,B45,$B$6:$B$8)-SUMIF($B$19:B45,B45,$D$19:D45),""))</f>
        <v/>
      </c>
    </row>
    <row r="46" ht="21.75" customHeight="1" s="314">
      <c r="A46" s="132">
        <f>IF(B46&lt;&gt;"",COUNTA($B$19:B46),"" )</f>
        <v/>
      </c>
      <c r="B46" s="133" t="n"/>
      <c r="C46" s="134" t="n"/>
      <c r="D46" s="135" t="n"/>
      <c r="E46" s="128" t="n"/>
      <c r="F46" s="128" t="n"/>
      <c r="G46" s="136" t="n"/>
      <c r="H46" s="128" t="n"/>
      <c r="I46" s="137">
        <f>IF(B46="","",IF(D46&gt;0,"✔ Tercatat","— "))</f>
        <v/>
      </c>
      <c r="J46" s="128" t="n"/>
      <c r="K46" s="128" t="n"/>
      <c r="L46" s="138">
        <f>IF(B46="","",IFERROR(SUMIF($A$6:$A$8,B46,$B$6:$B$8)-SUMIF($B$19:B46,B46,$D$19:D46),""))</f>
        <v/>
      </c>
    </row>
    <row r="47" ht="21.75" customHeight="1" s="314">
      <c r="A47" s="132">
        <f>IF(B47&lt;&gt;"",COUNTA($B$19:B47),"" )</f>
        <v/>
      </c>
      <c r="B47" s="133" t="n"/>
      <c r="C47" s="134" t="n"/>
      <c r="D47" s="135" t="n"/>
      <c r="E47" s="128" t="n"/>
      <c r="F47" s="128" t="n"/>
      <c r="G47" s="136" t="n"/>
      <c r="H47" s="128" t="n"/>
      <c r="I47" s="137">
        <f>IF(B47="","",IF(D47&gt;0,"✔ Tercatat","— "))</f>
        <v/>
      </c>
      <c r="J47" s="128" t="n"/>
      <c r="K47" s="128" t="n"/>
      <c r="L47" s="138">
        <f>IF(B47="","",IFERROR(SUMIF($A$6:$A$8,B47,$B$6:$B$8)-SUMIF($B$19:B47,B47,$D$19:D47),""))</f>
        <v/>
      </c>
    </row>
    <row r="48" ht="21.75" customHeight="1" s="314">
      <c r="A48" s="132">
        <f>IF(B48&lt;&gt;"",COUNTA($B$19:B48),"" )</f>
        <v/>
      </c>
      <c r="B48" s="133" t="n"/>
      <c r="C48" s="134" t="n"/>
      <c r="D48" s="135" t="n"/>
      <c r="E48" s="128" t="n"/>
      <c r="F48" s="128" t="n"/>
      <c r="G48" s="136" t="n"/>
      <c r="H48" s="128" t="n"/>
      <c r="I48" s="137">
        <f>IF(B48="","",IF(D48&gt;0,"✔ Tercatat","— "))</f>
        <v/>
      </c>
      <c r="J48" s="128" t="n"/>
      <c r="K48" s="128" t="n"/>
      <c r="L48" s="138">
        <f>IF(B48="","",IFERROR(SUMIF($A$6:$A$8,B48,$B$6:$B$8)-SUMIF($B$19:B48,B48,$D$19:D48),""))</f>
        <v/>
      </c>
    </row>
    <row r="51" ht="15" customHeight="1" s="314">
      <c r="A51" s="267" t="inlineStr">
        <is>
          <t>🎨  KETERANGAN WARNA:</t>
        </is>
      </c>
    </row>
    <row r="52" ht="15" customHeight="1" s="314">
      <c r="A52" s="139" t="inlineStr">
        <is>
          <t>🟡 KUNING = Kolom input manual oleh pengguna</t>
        </is>
      </c>
      <c r="D52" s="140" t="inlineStr">
        <is>
          <t>🔵 BIRU = Kalkulasi otomatis sistem (tidak perlu diisi)</t>
        </is>
      </c>
      <c r="H52" s="141" t="inlineStr">
        <is>
          <t>✅ HIJAU = Status LUNAS, nominal tidak masuk akumulasi berikutnya</t>
        </is>
      </c>
    </row>
  </sheetData>
  <mergeCells count="10">
    <mergeCell ref="A2:L2"/>
    <mergeCell ref="A15:L15"/>
    <mergeCell ref="A11:L11"/>
    <mergeCell ref="A51:L51"/>
    <mergeCell ref="A1:L1"/>
    <mergeCell ref="A13:L13"/>
    <mergeCell ref="A14:L14"/>
    <mergeCell ref="A17:L17"/>
    <mergeCell ref="A12:L12"/>
    <mergeCell ref="A4:L4"/>
  </mergeCells>
  <dataValidations count="2">
    <dataValidation sqref="B19:B48" showDropDown="0" showInputMessage="0" showErrorMessage="0" allowBlank="1" type="list">
      <formula1>"dr. ARIF,dr. HAWA,dr. JOJO"</formula1>
      <formula2>0</formula2>
    </dataValidation>
    <dataValidation sqref="E19:E48" showDropDown="0" showInputMessage="0" showErrorMessage="0" allowBlank="1" type="list">
      <formula1>"Transfer Bank,Cash,QRIS,Cek"</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55"/>
  <sheetViews>
    <sheetView tabSelected="1" zoomScaleNormal="100" workbookViewId="0">
      <pane ySplit="5" topLeftCell="A36" activePane="bottomLeft" state="frozen"/>
      <selection pane="bottomLeft" activeCell="D53" sqref="D53"/>
    </sheetView>
  </sheetViews>
  <sheetFormatPr baseColWidth="8" defaultColWidth="8.7109375" defaultRowHeight="15"/>
  <cols>
    <col width="35.28515625" customWidth="1" style="314" min="1" max="1"/>
    <col width="40.5703125" customWidth="1" style="314" min="2" max="2"/>
    <col width="26.85546875" customWidth="1" style="314" min="3" max="3"/>
    <col width="47.85546875" customWidth="1" style="314" min="4" max="4"/>
    <col width="18" customWidth="1" style="314" min="5" max="5"/>
    <col width="19.5703125" customWidth="1" style="314" min="6" max="6"/>
    <col width="27.28515625" customWidth="1" style="314" min="7" max="7"/>
  </cols>
  <sheetData>
    <row r="1" ht="31.5" customHeight="1" s="314">
      <c r="A1" s="279" t="inlineStr">
        <is>
          <t>💵  KAS &amp; PENGELUARAN  —  KLINIK dr. Firman Munir</t>
        </is>
      </c>
    </row>
    <row r="2" ht="19.5" customHeight="1" s="314">
      <c r="A2" s="280" t="inlineStr">
        <is>
          <t>Pencatatan kas (cash masuk) dan pengeluaran klinik  |  Cash dihitung mulai 25 April 2026</t>
        </is>
      </c>
    </row>
    <row r="3" ht="7.5" customHeight="1" s="314"/>
    <row r="4" ht="24" customHeight="1" s="314">
      <c r="A4" s="281" t="inlineStr">
        <is>
          <t>📥  RINGKASAN KAS MASUK  (mulai 25 April 2026)</t>
        </is>
      </c>
    </row>
    <row r="5" ht="19.5" customHeight="1" s="314">
      <c r="A5" s="282" t="inlineStr">
        <is>
          <t>No.</t>
        </is>
      </c>
      <c r="B5" s="282" t="inlineStr">
        <is>
          <t>Keterangan</t>
        </is>
      </c>
      <c r="C5" s="282" t="inlineStr">
        <is>
          <t>Jumlah (Rp)</t>
        </is>
      </c>
      <c r="D5" s="282" t="inlineStr">
        <is>
          <t>Catatan</t>
        </is>
      </c>
      <c r="E5" s="148" t="n"/>
      <c r="F5" s="143" t="n"/>
      <c r="G5" s="143" t="n"/>
    </row>
    <row r="6" ht="19.5" customHeight="1" s="314">
      <c r="A6" s="277" t="n">
        <v>1</v>
      </c>
      <c r="B6" s="145" t="inlineStr">
        <is>
          <t>Cash Dokter  (dari sheet Data Pasien)</t>
        </is>
      </c>
      <c r="C6" s="146">
        <f>SUMIFS('📋 Data Pasien'!$D:$D,'📋 Data Pasien'!$B:$B,"&gt;="&amp;DATE(2026,4,25),'📋 Data Pasien'!$E:$E,"Cash")</f>
        <v/>
      </c>
      <c r="D6" s="276" t="inlineStr">
        <is>
          <t>Dihitung otomatis · bayar dokter via cash</t>
        </is>
      </c>
      <c r="E6" s="148" t="n"/>
      <c r="F6" s="148" t="n"/>
      <c r="G6" s="148" t="n"/>
    </row>
    <row r="7" ht="19.5" customHeight="1" s="314">
      <c r="A7" s="277" t="n">
        <v>2</v>
      </c>
      <c r="B7" s="145" t="inlineStr">
        <is>
          <t>Cash Obat  (dari sheet Data Pasien)</t>
        </is>
      </c>
      <c r="C7" s="146">
        <f>SUMIFS('📋 Data Pasien'!$G:$G,'📋 Data Pasien'!$B:$B,"&gt;="&amp;DATE(2026,4,25),'📋 Data Pasien'!$H:$H,"Cash")</f>
        <v/>
      </c>
      <c r="D7" s="276" t="inlineStr">
        <is>
          <t>Dihitung otomatis · bayar obat via cash</t>
        </is>
      </c>
      <c r="E7" s="148" t="n"/>
      <c r="F7" s="148" t="n"/>
      <c r="G7" s="148" t="n"/>
    </row>
    <row r="8">
      <c r="A8" s="282" t="n">
        <v>3</v>
      </c>
      <c r="B8" s="234" t="inlineStr">
        <is>
          <t>Transfer Dokter  (dari sheet Data Pasien)</t>
        </is>
      </c>
      <c r="C8" s="233">
        <f>SUMIFS('📋 Data Pasien'!$D:$D,'📋 Data Pasien'!$B:$B,"&gt;="&amp;DATE(2026,4,25),'📋 Data Pasien'!$E:$E,"Transfer Bank")</f>
        <v/>
      </c>
      <c r="D8" s="282" t="inlineStr">
        <is>
          <t>Dihitung otomatis · bayar dokter via transfer</t>
        </is>
      </c>
    </row>
    <row r="9">
      <c r="A9" s="277" t="n">
        <v>4</v>
      </c>
      <c r="B9" s="145" t="inlineStr">
        <is>
          <t>Transfer Obat  (dari sheet Data Pasien)</t>
        </is>
      </c>
      <c r="C9" s="146">
        <f>SUMIFS('📋 Data Pasien'!$G:$G,'📋 Data Pasien'!$B:$B,"&gt;="&amp;DATE(2026,4,25),'📋 Data Pasien'!$H:$H,"Transfer Bank")</f>
        <v/>
      </c>
      <c r="D9" s="276" t="inlineStr">
        <is>
          <t>Dihitung otomatis · bayar obat via transfer</t>
        </is>
      </c>
    </row>
    <row r="10">
      <c r="A10" s="277" t="inlineStr">
        <is>
          <t>💰  TOTAL CASH MASUK</t>
        </is>
      </c>
      <c r="B10" s="143" t="n"/>
      <c r="C10" s="237">
        <f>SUM(C6:C7)</f>
        <v/>
      </c>
      <c r="D10" t="inlineStr">
        <is>
          <t>Cash Dokter + Cash Obat</t>
        </is>
      </c>
    </row>
    <row r="11">
      <c r="A11" s="278" t="inlineStr">
        <is>
          <t>🔵  TOTAL TRANSFER MASUK</t>
        </is>
      </c>
      <c r="B11" s="143" t="n"/>
      <c r="C11" s="237">
        <f>SUM(C8:C9)</f>
        <v/>
      </c>
      <c r="D11" t="inlineStr">
        <is>
          <t>Transfer Dokter + Transfer Obat</t>
        </is>
      </c>
    </row>
    <row r="12" ht="21.75" customHeight="1" s="314">
      <c r="A12" s="271" t="inlineStr">
        <is>
          <t>💰  TOTAL PEMASUKAN (Cash + Transfer)</t>
        </is>
      </c>
      <c r="B12" s="148" t="n"/>
      <c r="C12" s="149">
        <f>C10+C11</f>
        <v/>
      </c>
      <c r="D12" s="272" t="inlineStr">
        <is>
          <t>Total Cash + Total Transfer</t>
        </is>
      </c>
      <c r="E12" s="148" t="n"/>
      <c r="F12" s="148" t="n"/>
      <c r="G12" s="148" t="n"/>
    </row>
    <row r="13" ht="18" customHeight="1" s="314"/>
    <row r="14" ht="18" customHeight="1" s="314">
      <c r="A14" s="281" t="inlineStr">
        <is>
          <t>📤  PENCATATAN PENGELUARAN</t>
        </is>
      </c>
    </row>
    <row r="15" ht="59.25" customHeight="1" s="314">
      <c r="A15" s="151" t="inlineStr">
        <is>
          <t>💡  CARA INPUT: Isi kolom Tanggal, Keterangan, Kategori, dan Jumlah. Baris 13–42 tersedia. Total dan saldo dihitung otomatis.</t>
        </is>
      </c>
    </row>
    <row r="16" ht="18" customHeight="1" s="314">
      <c r="A16" s="282" t="inlineStr">
        <is>
          <t>No.</t>
        </is>
      </c>
      <c r="B16" s="282" t="inlineStr">
        <is>
          <t>Tanggal</t>
        </is>
      </c>
      <c r="C16" s="282" t="inlineStr">
        <is>
          <t>Keterangan Pengeluaran</t>
        </is>
      </c>
      <c r="D16" s="282" t="inlineStr">
        <is>
          <t>Kategori</t>
        </is>
      </c>
      <c r="E16" s="282" t="inlineStr">
        <is>
          <t>Jumlah (Rp)</t>
        </is>
      </c>
      <c r="F16" s="282" t="inlineStr">
        <is>
          <t>Jenis Pembayaran</t>
        </is>
      </c>
      <c r="G16" s="282" t="inlineStr">
        <is>
          <t>Keterangan</t>
        </is>
      </c>
    </row>
    <row r="17" ht="18" customHeight="1" s="314">
      <c r="A17" s="273" t="n">
        <v>1</v>
      </c>
      <c r="B17" s="153" t="n"/>
      <c r="C17" s="154" t="n"/>
      <c r="D17" s="273" t="n"/>
      <c r="E17" s="155" t="n"/>
      <c r="G17" s="154" t="n"/>
    </row>
    <row r="18" ht="18" customHeight="1" s="314">
      <c r="A18" s="273" t="n">
        <v>2</v>
      </c>
      <c r="B18" s="153" t="n"/>
      <c r="C18" s="154" t="n"/>
      <c r="D18" s="273" t="n"/>
      <c r="E18" s="155" t="n"/>
      <c r="G18" s="154" t="n"/>
    </row>
    <row r="19" ht="18" customHeight="1" s="314">
      <c r="A19" s="273" t="n">
        <v>3</v>
      </c>
      <c r="B19" s="153" t="n"/>
      <c r="C19" s="154" t="n"/>
      <c r="D19" s="273" t="n"/>
      <c r="E19" s="155" t="n"/>
      <c r="G19" s="154" t="n"/>
    </row>
    <row r="20" ht="18" customHeight="1" s="314">
      <c r="A20" s="273" t="n">
        <v>4</v>
      </c>
      <c r="B20" s="153" t="n"/>
      <c r="C20" s="154" t="n"/>
      <c r="D20" s="273" t="n"/>
      <c r="E20" s="155" t="n"/>
      <c r="G20" s="154" t="n"/>
    </row>
    <row r="21" ht="18" customHeight="1" s="314">
      <c r="A21" s="273" t="n">
        <v>5</v>
      </c>
      <c r="B21" s="153" t="n"/>
      <c r="C21" s="154" t="n"/>
      <c r="D21" s="273" t="n"/>
      <c r="E21" s="155" t="n"/>
      <c r="G21" s="154" t="n"/>
    </row>
    <row r="22" ht="18" customHeight="1" s="314">
      <c r="A22" s="273" t="n">
        <v>6</v>
      </c>
      <c r="B22" s="153" t="n"/>
      <c r="C22" s="154" t="n"/>
      <c r="D22" s="273" t="n"/>
      <c r="E22" s="155" t="n"/>
      <c r="G22" s="154" t="n"/>
    </row>
    <row r="23" ht="18" customHeight="1" s="314">
      <c r="A23" s="273" t="n">
        <v>7</v>
      </c>
      <c r="B23" s="153" t="n"/>
      <c r="C23" s="154" t="n"/>
      <c r="D23" s="273" t="n"/>
      <c r="E23" s="155" t="n"/>
      <c r="G23" s="154" t="n"/>
    </row>
    <row r="24" ht="18" customHeight="1" s="314">
      <c r="A24" s="273" t="n">
        <v>8</v>
      </c>
      <c r="B24" s="153" t="n"/>
      <c r="C24" s="154" t="n"/>
      <c r="D24" s="273" t="n"/>
      <c r="E24" s="155" t="n"/>
      <c r="G24" s="154" t="n"/>
    </row>
    <row r="25" ht="18" customHeight="1" s="314">
      <c r="A25" s="273" t="n">
        <v>9</v>
      </c>
      <c r="B25" s="153" t="n"/>
      <c r="C25" s="154" t="n"/>
      <c r="D25" s="273" t="n"/>
      <c r="E25" s="155" t="n"/>
      <c r="G25" s="154" t="n"/>
    </row>
    <row r="26" ht="18" customHeight="1" s="314">
      <c r="A26" s="273" t="n">
        <v>10</v>
      </c>
      <c r="B26" s="153" t="n"/>
      <c r="C26" s="154" t="n"/>
      <c r="D26" s="273" t="n"/>
      <c r="E26" s="155" t="n"/>
      <c r="G26" s="154" t="n"/>
    </row>
    <row r="27" ht="18" customHeight="1" s="314">
      <c r="A27" s="273" t="n">
        <v>11</v>
      </c>
      <c r="B27" s="153" t="n"/>
      <c r="C27" s="154" t="n"/>
      <c r="D27" s="273" t="n"/>
      <c r="E27" s="155" t="n"/>
      <c r="G27" s="154" t="n"/>
    </row>
    <row r="28" ht="18" customHeight="1" s="314">
      <c r="A28" s="273" t="n">
        <v>12</v>
      </c>
      <c r="B28" s="153" t="n"/>
      <c r="C28" s="154" t="n"/>
      <c r="D28" s="273" t="n"/>
      <c r="E28" s="155" t="n"/>
      <c r="G28" s="154" t="n"/>
    </row>
    <row r="29" ht="18" customHeight="1" s="314">
      <c r="A29" s="273" t="n">
        <v>13</v>
      </c>
      <c r="B29" s="153" t="n"/>
      <c r="C29" s="154" t="n"/>
      <c r="D29" s="273" t="n"/>
      <c r="E29" s="155" t="n"/>
      <c r="G29" s="154" t="n"/>
    </row>
    <row r="30" ht="18" customHeight="1" s="314">
      <c r="A30" s="273" t="n">
        <v>14</v>
      </c>
      <c r="B30" s="153" t="n"/>
      <c r="C30" s="154" t="n"/>
      <c r="D30" s="273" t="n"/>
      <c r="E30" s="155" t="n"/>
      <c r="G30" s="154" t="n"/>
    </row>
    <row r="31" ht="18" customHeight="1" s="314">
      <c r="A31" s="273" t="n">
        <v>15</v>
      </c>
      <c r="B31" s="153" t="n"/>
      <c r="C31" s="154" t="n"/>
      <c r="D31" s="273" t="n"/>
      <c r="E31" s="155" t="n"/>
      <c r="G31" s="154" t="n"/>
    </row>
    <row r="32" ht="18" customHeight="1" s="314">
      <c r="A32" s="273" t="n">
        <v>16</v>
      </c>
      <c r="B32" s="153" t="n"/>
      <c r="C32" s="154" t="n"/>
      <c r="D32" s="273" t="n"/>
      <c r="E32" s="155" t="n"/>
      <c r="G32" s="154" t="n"/>
    </row>
    <row r="33" ht="18" customHeight="1" s="314">
      <c r="A33" s="273" t="n">
        <v>17</v>
      </c>
      <c r="B33" s="153" t="n"/>
      <c r="C33" s="154" t="n"/>
      <c r="D33" s="273" t="n"/>
      <c r="E33" s="155" t="n"/>
      <c r="G33" s="154" t="n"/>
    </row>
    <row r="34" ht="18" customHeight="1" s="314">
      <c r="A34" s="273" t="n">
        <v>18</v>
      </c>
      <c r="B34" s="153" t="n"/>
      <c r="C34" s="154" t="n"/>
      <c r="D34" s="273" t="n"/>
      <c r="E34" s="155" t="n"/>
      <c r="G34" s="154" t="n"/>
    </row>
    <row r="35" ht="18" customHeight="1" s="314">
      <c r="A35" s="273" t="n">
        <v>19</v>
      </c>
      <c r="B35" s="153" t="n"/>
      <c r="C35" s="154" t="n"/>
      <c r="D35" s="273" t="n"/>
      <c r="E35" s="155" t="n"/>
      <c r="G35" s="154" t="n"/>
    </row>
    <row r="36" ht="18" customHeight="1" s="314">
      <c r="A36" s="273" t="n">
        <v>20</v>
      </c>
      <c r="B36" s="153" t="n"/>
      <c r="C36" s="154" t="n"/>
      <c r="D36" s="273" t="n"/>
      <c r="E36" s="155" t="n"/>
      <c r="G36" s="154" t="n"/>
    </row>
    <row r="37" ht="18" customHeight="1" s="314">
      <c r="A37" s="273" t="n">
        <v>21</v>
      </c>
      <c r="B37" s="153" t="n"/>
      <c r="C37" s="154" t="n"/>
      <c r="D37" s="273" t="n"/>
      <c r="E37" s="155" t="n"/>
      <c r="G37" s="154" t="n"/>
    </row>
    <row r="38" ht="18" customHeight="1" s="314">
      <c r="A38" s="273" t="n">
        <v>22</v>
      </c>
      <c r="B38" s="153" t="n"/>
      <c r="C38" s="154" t="n"/>
      <c r="D38" s="273" t="n"/>
      <c r="E38" s="155" t="n"/>
      <c r="G38" s="154" t="n"/>
    </row>
    <row r="39" ht="18" customHeight="1" s="314">
      <c r="A39" s="273" t="n">
        <v>23</v>
      </c>
      <c r="B39" s="153" t="n"/>
      <c r="C39" s="154" t="n"/>
      <c r="D39" s="273" t="n"/>
      <c r="E39" s="155" t="n"/>
      <c r="G39" s="154" t="n"/>
    </row>
    <row r="40" ht="18" customHeight="1" s="314">
      <c r="A40" s="273" t="n">
        <v>24</v>
      </c>
      <c r="B40" s="153" t="n"/>
      <c r="C40" s="154" t="n"/>
      <c r="D40" s="273" t="n"/>
      <c r="E40" s="155" t="n"/>
      <c r="G40" s="154" t="n"/>
    </row>
    <row r="41" ht="18" customHeight="1" s="314">
      <c r="A41" s="273" t="n">
        <v>25</v>
      </c>
      <c r="B41" s="153" t="n"/>
      <c r="C41" s="154" t="n"/>
      <c r="D41" s="273" t="n"/>
      <c r="E41" s="155" t="n"/>
      <c r="G41" s="154" t="n"/>
    </row>
    <row r="42" ht="18" customHeight="1" s="314">
      <c r="A42" s="273" t="n">
        <v>26</v>
      </c>
      <c r="B42" s="153" t="n"/>
      <c r="C42" s="154" t="n"/>
      <c r="D42" s="273" t="n"/>
      <c r="E42" s="155" t="n"/>
      <c r="G42" s="154" t="n"/>
    </row>
    <row r="43" ht="18" customHeight="1" s="314">
      <c r="A43" s="273" t="n">
        <v>27</v>
      </c>
      <c r="B43" s="153" t="n"/>
      <c r="C43" s="154" t="n"/>
      <c r="D43" s="273" t="n"/>
      <c r="E43" s="155" t="n"/>
      <c r="G43" s="154" t="n"/>
    </row>
    <row r="44" ht="21.75" customHeight="1" s="314">
      <c r="A44" s="273" t="n">
        <v>28</v>
      </c>
      <c r="B44" s="156" t="n"/>
      <c r="C44" s="156" t="n"/>
      <c r="D44" s="156" t="n"/>
      <c r="E44" s="155" t="n"/>
      <c r="G44" s="154" t="n"/>
    </row>
    <row r="45" ht="9.75" customHeight="1" s="314">
      <c r="A45" s="273" t="n">
        <v>29</v>
      </c>
      <c r="B45" s="153" t="n"/>
      <c r="C45" s="154" t="n"/>
      <c r="D45" s="273" t="n"/>
      <c r="E45" s="155" t="n"/>
      <c r="G45" s="154" t="n"/>
    </row>
    <row r="46" ht="24" customHeight="1" s="314">
      <c r="A46" s="273" t="n">
        <v>30</v>
      </c>
      <c r="B46" s="156" t="n"/>
      <c r="C46" s="156" t="n"/>
      <c r="D46" s="156" t="n"/>
      <c r="E46" s="156" t="n"/>
      <c r="F46" s="156" t="n"/>
      <c r="G46" s="154" t="n"/>
    </row>
    <row r="47" ht="19.5" customHeight="1" s="314">
      <c r="A47" s="273" t="n">
        <v>31</v>
      </c>
      <c r="B47" s="156" t="n"/>
      <c r="C47" s="154" t="n"/>
      <c r="D47" s="273" t="n"/>
      <c r="E47" s="148" t="n"/>
      <c r="F47" s="143" t="n"/>
      <c r="G47" s="154" t="n"/>
    </row>
    <row r="48" ht="19.5" customHeight="1" s="314">
      <c r="A48" s="274" t="inlineStr">
        <is>
          <t>🔴  TOTAL PENGELUARAN</t>
        </is>
      </c>
      <c r="B48" s="148" t="n"/>
      <c r="D48" s="148" t="n"/>
      <c r="E48" s="236">
        <f>SUM(E17:E47)</f>
        <v/>
      </c>
      <c r="F48" s="148" t="n"/>
      <c r="G48" s="157" t="inlineStr">
        <is>
          <t>Jumlah semua pengeluaran</t>
        </is>
      </c>
    </row>
    <row r="49" ht="25.5" customHeight="1" s="314"/>
    <row r="50" ht="15" customHeight="1" s="314">
      <c r="A50" s="281" t="inlineStr">
        <is>
          <t>📊  SALDO KAS</t>
        </is>
      </c>
    </row>
    <row r="51" ht="28.5" customHeight="1" s="314">
      <c r="A51" s="158" t="inlineStr">
        <is>
          <t>Keterangan</t>
        </is>
      </c>
      <c r="C51" s="158" t="inlineStr">
        <is>
          <t>Pemasukan (Rp)</t>
        </is>
      </c>
      <c r="D51" s="158" t="inlineStr">
        <is>
          <t>Pengeluaran (Rp)</t>
        </is>
      </c>
      <c r="E51" s="158" t="inlineStr">
        <is>
          <t>Saldo Bersih (Rp)</t>
        </is>
      </c>
    </row>
    <row r="52" ht="15" customHeight="1" s="314">
      <c r="A52" s="159" t="inlineStr">
        <is>
          <t>💰  Cash</t>
        </is>
      </c>
      <c r="C52" s="320">
        <f>C10</f>
        <v/>
      </c>
      <c r="D52" s="320">
        <f>SUMIF(F17:F47,"Cash",E17:E47)</f>
        <v/>
      </c>
      <c r="E52" s="320">
        <f>C52-D52</f>
        <v/>
      </c>
      <c r="G52" s="25" t="n">
        <v>19880000</v>
      </c>
    </row>
    <row r="53" ht="15" customHeight="1" s="314">
      <c r="A53" s="160" t="inlineStr">
        <is>
          <t>🔵  Transfer Bank</t>
        </is>
      </c>
      <c r="B53" s="148" t="n"/>
      <c r="C53" s="320">
        <f>C11</f>
        <v/>
      </c>
      <c r="D53" s="320">
        <f>SUMIF(F17:F47,"Transfer Bank",E17:E47)</f>
        <v/>
      </c>
      <c r="E53" s="320">
        <f>C53-D53</f>
        <v/>
      </c>
      <c r="G53" s="238">
        <f>E48-D52</f>
        <v/>
      </c>
    </row>
    <row r="54">
      <c r="A54" s="161" t="inlineStr">
        <is>
          <t>💰  TOTAL (Cash + Transfer)</t>
        </is>
      </c>
      <c r="B54" s="148" t="n"/>
      <c r="C54" s="321">
        <f>C12</f>
        <v/>
      </c>
      <c r="D54" s="321">
        <f>E48</f>
        <v/>
      </c>
      <c r="E54" s="321">
        <f>C54-D54</f>
        <v/>
      </c>
      <c r="G54" s="148" t="n"/>
    </row>
    <row r="55">
      <c r="A55" s="162" t="n"/>
      <c r="B55" s="148" t="n"/>
      <c r="C55" s="163" t="n"/>
      <c r="D55" s="164" t="n"/>
      <c r="E55" s="148" t="n"/>
      <c r="G55" s="148" t="n"/>
    </row>
  </sheetData>
  <mergeCells count="16">
    <mergeCell ref="A2:F2"/>
    <mergeCell ref="A48:B48"/>
    <mergeCell ref="D11:F11"/>
    <mergeCell ref="D5:F5"/>
    <mergeCell ref="D10:F10"/>
    <mergeCell ref="A1:F1"/>
    <mergeCell ref="A11:B11"/>
    <mergeCell ref="A10:B10"/>
    <mergeCell ref="A49:B49"/>
    <mergeCell ref="D12:F12"/>
    <mergeCell ref="A4:F4"/>
    <mergeCell ref="D7:F7"/>
    <mergeCell ref="D6:F6"/>
    <mergeCell ref="D47:F47"/>
    <mergeCell ref="D49:F49"/>
    <mergeCell ref="A12:B12"/>
  </mergeCells>
  <dataValidations count="2">
    <dataValidation sqref="D13:D43" showDropDown="0" showInputMessage="0" showErrorMessage="0" allowBlank="1" type="list">
      <formula1>"ATK &amp; Perlengkapan,Listrik &amp; Air,Gaji &amp; Honor,Pembelian Obat,Kebersihan,Perawatan Klinik,Lain-lain"</formula1>
      <formula2>0</formula2>
    </dataValidation>
    <dataValidation sqref="F15:F47" showDropDown="0" showInputMessage="0" showErrorMessage="0" allowBlank="1" type="list">
      <formula1>"Cash,Transfer Bank"</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1F4E79"/>
    <outlinePr summaryBelow="1" summaryRight="1"/>
    <pageSetUpPr/>
  </sheetPr>
  <dimension ref="A1:M199"/>
  <sheetViews>
    <sheetView showGridLines="0" zoomScaleNormal="100" workbookViewId="0">
      <pane ySplit="4" topLeftCell="A23" activePane="bottomLeft" state="frozen"/>
      <selection pane="bottomLeft" activeCell="J50" sqref="J50"/>
    </sheetView>
  </sheetViews>
  <sheetFormatPr baseColWidth="8" defaultColWidth="8.7109375" defaultRowHeight="15"/>
  <cols>
    <col width="26" customWidth="1" style="314" min="1" max="1"/>
    <col width="14" customWidth="1" style="314" min="2" max="2"/>
    <col width="18" customWidth="1" style="314" min="3" max="9"/>
    <col width="14" customWidth="1" style="314" min="10" max="12"/>
  </cols>
  <sheetData>
    <row r="1" ht="42" customHeight="1" s="314">
      <c r="A1" s="283" t="inlineStr">
        <is>
          <t>📅  LAPORAN HARIAN</t>
        </is>
      </c>
    </row>
    <row r="2" ht="19.5" customHeight="1" s="314">
      <c r="A2" s="284" t="inlineStr">
        <is>
          <t>Rekap harian — April s/d Juni 2026  ·  Data otomatis dari sheet Data Pasien</t>
        </is>
      </c>
    </row>
    <row r="3" ht="7.5" customHeight="1" s="314"/>
    <row r="4" ht="42" customHeight="1" s="314">
      <c r="A4" s="165" t="inlineStr">
        <is>
          <t>Periode</t>
        </is>
      </c>
      <c r="B4" s="165" t="inlineStr">
        <is>
          <t>Jml
Pasien</t>
        </is>
      </c>
      <c r="C4" s="166" t="inlineStr">
        <is>
          <t>Dokter
Cash (Rp)</t>
        </is>
      </c>
      <c r="D4" s="167" t="inlineStr">
        <is>
          <t>Dokter
Transfer (Rp)</t>
        </is>
      </c>
      <c r="E4" s="165" t="inlineStr">
        <is>
          <t>Total Dokter (Rp)</t>
        </is>
      </c>
      <c r="F4" s="166" t="inlineStr">
        <is>
          <t>Obat Cash
(Ambil, Rp)</t>
        </is>
      </c>
      <c r="G4" s="167" t="inlineStr">
        <is>
          <t>Obat Transfer
(Ambil, Rp)</t>
        </is>
      </c>
      <c r="H4" s="165" t="inlineStr">
        <is>
          <t>Total Obat
(Ambil, Rp)</t>
        </is>
      </c>
      <c r="I4" s="34" t="inlineStr">
        <is>
          <t>Grand Total (Rp)</t>
        </is>
      </c>
    </row>
    <row r="5" ht="21.75" customHeight="1" s="314">
      <c r="A5" s="168">
        <f>IF(COUNTA('📋 Data Pasien'!C7:C17)=0,"— 01 Apr 2026 —","Rab 01 Apr 2026")</f>
        <v/>
      </c>
      <c r="B5" s="169">
        <f>COUNTA('📋 Data Pasien'!C7:C17)</f>
        <v/>
      </c>
      <c r="C5" s="170">
        <f>SUMIF('📋 Data Pasien'!E7:E17,"Cash",'📋 Data Pasien'!D7:D17)</f>
        <v/>
      </c>
      <c r="D5" s="171">
        <f>SUMIF('📋 Data Pasien'!E7:E17,"Transfer Bank",'📋 Data Pasien'!D7:D17)</f>
        <v/>
      </c>
      <c r="E5" s="172">
        <f>SUMIF('📋 Data Pasien'!C7:C17,"&lt;&gt;",'📋 Data Pasien'!D7:D17)</f>
        <v/>
      </c>
      <c r="F5" s="170">
        <f>SUMIFS('📋 Data Pasien'!G7:G17,'📋 Data Pasien'!H7:H17,"Cash",'📋 Data Pasien'!F7:F17,"Ambil Obat")</f>
        <v/>
      </c>
      <c r="G5" s="171">
        <f>SUMIFS('📋 Data Pasien'!G7:G17,'📋 Data Pasien'!H7:H17,"Transfer Bank",'📋 Data Pasien'!F7:F17,"Ambil Obat")</f>
        <v/>
      </c>
      <c r="H5" s="172">
        <f>SUMIF('📋 Data Pasien'!F7:F17,"Ambil Obat",'📋 Data Pasien'!G7:G17)</f>
        <v/>
      </c>
      <c r="I5" s="173">
        <f>IF(E5=0,"",E5+H5)</f>
        <v/>
      </c>
    </row>
    <row r="6" ht="21.75" customHeight="1" s="314">
      <c r="A6" s="174">
        <f>IF(COUNTA('📋 Data Pasien'!C20:C26)=0,"— 02 Apr 2026 —","Kam 02 Apr 2026")</f>
        <v/>
      </c>
      <c r="B6" s="175">
        <f>COUNTA('📋 Data Pasien'!C20:C26)</f>
        <v/>
      </c>
      <c r="C6" s="170">
        <f>SUMIF('📋 Data Pasien'!E20:E26,"Cash",'📋 Data Pasien'!D20:D26)</f>
        <v/>
      </c>
      <c r="D6" s="171">
        <f>SUMIF('📋 Data Pasien'!E20:E26,"Transfer Bank",'📋 Data Pasien'!D20:D26)</f>
        <v/>
      </c>
      <c r="E6" s="176">
        <f>SUMIF('📋 Data Pasien'!C20:C26,"&lt;&gt;",'📋 Data Pasien'!D20:D26)</f>
        <v/>
      </c>
      <c r="F6" s="170">
        <f>SUMIFS('📋 Data Pasien'!G20:G26,'📋 Data Pasien'!H20:H26,"Cash",'📋 Data Pasien'!F20:F26,"Ambil Obat")</f>
        <v/>
      </c>
      <c r="G6" s="171">
        <f>SUMIFS('📋 Data Pasien'!G20:G26,'📋 Data Pasien'!H20:H26,"Transfer Bank",'📋 Data Pasien'!F20:F26,"Ambil Obat")</f>
        <v/>
      </c>
      <c r="H6" s="176">
        <f>SUMIF('📋 Data Pasien'!F20:F26,"Ambil Obat",'📋 Data Pasien'!G20:G26)</f>
        <v/>
      </c>
      <c r="I6" s="173">
        <f>IF(E6=0,"",E6+H6)</f>
        <v/>
      </c>
    </row>
    <row r="7" ht="21.75" customHeight="1" s="314">
      <c r="A7" s="168">
        <f>IF(COUNTA('📋 Data Pasien'!C29:C39)=0,"— 03 Apr 2026 —","Jum 03 Apr 2026")</f>
        <v/>
      </c>
      <c r="B7" s="169">
        <f>COUNTA('📋 Data Pasien'!C29:C39)</f>
        <v/>
      </c>
      <c r="C7" s="170">
        <f>SUMIF('📋 Data Pasien'!E29:E39,"Cash",'📋 Data Pasien'!D29:D39)</f>
        <v/>
      </c>
      <c r="D7" s="171">
        <f>SUMIF('📋 Data Pasien'!E29:E39,"Transfer Bank",'📋 Data Pasien'!D29:D39)</f>
        <v/>
      </c>
      <c r="E7" s="172">
        <f>SUMIF('📋 Data Pasien'!C29:C39,"&lt;&gt;",'📋 Data Pasien'!D29:D39)</f>
        <v/>
      </c>
      <c r="F7" s="170">
        <f>SUMIFS('📋 Data Pasien'!G29:G39,'📋 Data Pasien'!H29:H39,"Cash",'📋 Data Pasien'!F29:F39,"Ambil Obat")</f>
        <v/>
      </c>
      <c r="G7" s="171">
        <f>SUMIFS('📋 Data Pasien'!G29:G39,'📋 Data Pasien'!H29:H39,"Transfer Bank",'📋 Data Pasien'!F29:F39,"Ambil Obat")</f>
        <v/>
      </c>
      <c r="H7" s="172">
        <f>SUMIF('📋 Data Pasien'!F29:F39,"Ambil Obat",'📋 Data Pasien'!G29:G39)</f>
        <v/>
      </c>
      <c r="I7" s="173">
        <f>IF(E7=0,"",E7+H7)</f>
        <v/>
      </c>
    </row>
    <row r="8" ht="21.75" customHeight="1" s="314">
      <c r="A8" s="174">
        <f>IF(COUNTA('📋 Data Pasien'!C42:C47)=0,"— 04 Apr 2026 —","Sab 04 Apr 2026")</f>
        <v/>
      </c>
      <c r="B8" s="175">
        <f>COUNTA('📋 Data Pasien'!C42:C47)</f>
        <v/>
      </c>
      <c r="C8" s="170">
        <f>SUMIF('📋 Data Pasien'!E42:E47,"Cash",'📋 Data Pasien'!D42:D47)</f>
        <v/>
      </c>
      <c r="D8" s="171">
        <f>SUMIF('📋 Data Pasien'!E42:E47,"Transfer Bank",'📋 Data Pasien'!D42:D47)</f>
        <v/>
      </c>
      <c r="E8" s="176">
        <f>SUMIF('📋 Data Pasien'!C42:C47,"&lt;&gt;",'📋 Data Pasien'!D42:D47)</f>
        <v/>
      </c>
      <c r="F8" s="170">
        <f>SUMIFS('📋 Data Pasien'!G42:G47,'📋 Data Pasien'!H42:H47,"Cash",'📋 Data Pasien'!F42:F47,"Ambil Obat")</f>
        <v/>
      </c>
      <c r="G8" s="171">
        <f>SUMIFS('📋 Data Pasien'!G42:G47,'📋 Data Pasien'!H42:H47,"Transfer Bank",'📋 Data Pasien'!F42:F47,"Ambil Obat")</f>
        <v/>
      </c>
      <c r="H8" s="176">
        <f>SUMIF('📋 Data Pasien'!F42:F47,"Ambil Obat",'📋 Data Pasien'!G42:G47)</f>
        <v/>
      </c>
      <c r="I8" s="173">
        <f>IF(E8=0,"",E8+H8)</f>
        <v/>
      </c>
    </row>
    <row r="9" ht="21.75" customHeight="1" s="314">
      <c r="A9" s="168">
        <f>IF(COUNTA('📋 Data Pasien'!C50:C50)=0,"— 05 Apr 2026 —","Min 05 Apr 2026")</f>
        <v/>
      </c>
      <c r="B9" s="169">
        <f>COUNTA('📋 Data Pasien'!C50:C50)</f>
        <v/>
      </c>
      <c r="C9" s="170">
        <f>SUMIF('📋 Data Pasien'!E50:E50,"Cash",'📋 Data Pasien'!D50:D50)</f>
        <v/>
      </c>
      <c r="D9" s="171">
        <f>SUMIF('📋 Data Pasien'!E50:E50,"Transfer Bank",'📋 Data Pasien'!D50:D50)</f>
        <v/>
      </c>
      <c r="E9" s="172">
        <f>SUMIF('📋 Data Pasien'!C50:C50,"&lt;&gt;",'📋 Data Pasien'!D50:D50)</f>
        <v/>
      </c>
      <c r="F9" s="170">
        <f>SUMIFS('📋 Data Pasien'!G50:G50,'📋 Data Pasien'!H50:H50,"Cash",'📋 Data Pasien'!F50:F50,"Ambil Obat")</f>
        <v/>
      </c>
      <c r="G9" s="171">
        <f>SUMIFS('📋 Data Pasien'!G50:G50,'📋 Data Pasien'!H50:H50,"Transfer Bank",'📋 Data Pasien'!F50:F50,"Ambil Obat")</f>
        <v/>
      </c>
      <c r="H9" s="172">
        <f>SUMIF('📋 Data Pasien'!F50:F50,"Ambil Obat",'📋 Data Pasien'!G50:G50)</f>
        <v/>
      </c>
      <c r="I9" s="173">
        <f>IF(E9=0,"",E9+H9)</f>
        <v/>
      </c>
    </row>
    <row r="10" ht="21.75" customHeight="1" s="314">
      <c r="A10" s="174">
        <f>IF(COUNTA('📋 Data Pasien'!C53:C53)=0,"— 06 Apr 2026 —","Sen 06 Apr 2026")</f>
        <v/>
      </c>
      <c r="B10" s="175">
        <f>COUNTA('📋 Data Pasien'!C53:C53)</f>
        <v/>
      </c>
      <c r="C10" s="170">
        <f>SUMIF('📋 Data Pasien'!E53:E53,"Cash",'📋 Data Pasien'!D53:D53)</f>
        <v/>
      </c>
      <c r="D10" s="171">
        <f>SUMIF('📋 Data Pasien'!E53:E53,"Transfer Bank",'📋 Data Pasien'!D53:D53)</f>
        <v/>
      </c>
      <c r="E10" s="176">
        <f>SUMIF('📋 Data Pasien'!C53:C53,"&lt;&gt;",'📋 Data Pasien'!D53:D53)</f>
        <v/>
      </c>
      <c r="F10" s="170">
        <f>SUMIFS('📋 Data Pasien'!G53:G53,'📋 Data Pasien'!H53:H53,"Cash",'📋 Data Pasien'!F53:F53,"Ambil Obat")</f>
        <v/>
      </c>
      <c r="G10" s="171">
        <f>SUMIFS('📋 Data Pasien'!G53:G53,'📋 Data Pasien'!H53:H53,"Transfer Bank",'📋 Data Pasien'!F53:F53,"Ambil Obat")</f>
        <v/>
      </c>
      <c r="H10" s="176">
        <f>SUMIF('📋 Data Pasien'!F53:F53,"Ambil Obat",'📋 Data Pasien'!G53:G53)</f>
        <v/>
      </c>
      <c r="I10" s="173">
        <f>IF(E10=0,"",E10+H10)</f>
        <v/>
      </c>
    </row>
    <row r="11" ht="21.75" customHeight="1" s="314">
      <c r="A11" s="168">
        <f>IF(COUNTA('📋 Data Pasien'!C56:C56)=0,"— 07 Apr 2026 —","Sel 07 Apr 2026")</f>
        <v/>
      </c>
      <c r="B11" s="169">
        <f>COUNTA('📋 Data Pasien'!C56:C56)</f>
        <v/>
      </c>
      <c r="C11" s="170">
        <f>SUMIF('📋 Data Pasien'!E56:E56,"Cash",'📋 Data Pasien'!D56:D56)</f>
        <v/>
      </c>
      <c r="D11" s="171">
        <f>SUMIF('📋 Data Pasien'!E56:E56,"Transfer Bank",'📋 Data Pasien'!D56:D56)</f>
        <v/>
      </c>
      <c r="E11" s="172">
        <f>SUMIF('📋 Data Pasien'!C56:C56,"&lt;&gt;",'📋 Data Pasien'!D56:D56)</f>
        <v/>
      </c>
      <c r="F11" s="170">
        <f>SUMIFS('📋 Data Pasien'!G56:G56,'📋 Data Pasien'!H56:H56,"Cash",'📋 Data Pasien'!F56:F56,"Ambil Obat")</f>
        <v/>
      </c>
      <c r="G11" s="171">
        <f>SUMIFS('📋 Data Pasien'!G56:G56,'📋 Data Pasien'!H56:H56,"Transfer Bank",'📋 Data Pasien'!F56:F56,"Ambil Obat")</f>
        <v/>
      </c>
      <c r="H11" s="172">
        <f>SUMIF('📋 Data Pasien'!F56:F56,"Ambil Obat",'📋 Data Pasien'!G56:G56)</f>
        <v/>
      </c>
      <c r="I11" s="173">
        <f>IF(E11=0,"",E11+H11)</f>
        <v/>
      </c>
    </row>
    <row r="12" ht="21.75" customHeight="1" s="314">
      <c r="A12" s="174">
        <f>IF(COUNTA('📋 Data Pasien'!C59:C59)=0,"— 08 Apr 2026 —","Rab 08 Apr 2026")</f>
        <v/>
      </c>
      <c r="B12" s="175">
        <f>COUNTA('📋 Data Pasien'!C59:C59)</f>
        <v/>
      </c>
      <c r="C12" s="170">
        <f>SUMIF('📋 Data Pasien'!E59:E59,"Cash",'📋 Data Pasien'!D59:D59)</f>
        <v/>
      </c>
      <c r="D12" s="171">
        <f>SUMIF('📋 Data Pasien'!E59:E59,"Transfer Bank",'📋 Data Pasien'!D59:D59)</f>
        <v/>
      </c>
      <c r="E12" s="176">
        <f>SUMIF('📋 Data Pasien'!C59:C59,"&lt;&gt;",'📋 Data Pasien'!D59:D59)</f>
        <v/>
      </c>
      <c r="F12" s="170">
        <f>SUMIFS('📋 Data Pasien'!G59:G59,'📋 Data Pasien'!H59:H59,"Cash",'📋 Data Pasien'!F59:F59,"Ambil Obat")</f>
        <v/>
      </c>
      <c r="G12" s="171">
        <f>SUMIFS('📋 Data Pasien'!G59:G59,'📋 Data Pasien'!H59:H59,"Transfer Bank",'📋 Data Pasien'!F59:F59,"Ambil Obat")</f>
        <v/>
      </c>
      <c r="H12" s="176">
        <f>SUMIF('📋 Data Pasien'!F59:F59,"Ambil Obat",'📋 Data Pasien'!G59:G59)</f>
        <v/>
      </c>
      <c r="I12" s="173">
        <f>IF(E12=0,"",E12+H12)</f>
        <v/>
      </c>
    </row>
    <row r="13" ht="21.75" customHeight="1" s="314">
      <c r="A13" s="168">
        <f>IF(COUNTA('📋 Data Pasien'!C62:C62)=0,"— 09 Apr 2026 —","Kam 09 Apr 2026")</f>
        <v/>
      </c>
      <c r="B13" s="169">
        <f>COUNTA('📋 Data Pasien'!C62:C62)</f>
        <v/>
      </c>
      <c r="C13" s="170">
        <f>SUMIF('📋 Data Pasien'!E62:E62,"Cash",'📋 Data Pasien'!D62:D62)</f>
        <v/>
      </c>
      <c r="D13" s="171">
        <f>SUMIF('📋 Data Pasien'!E62:E62,"Transfer Bank",'📋 Data Pasien'!D62:D62)</f>
        <v/>
      </c>
      <c r="E13" s="172">
        <f>SUMIF('📋 Data Pasien'!C62:C62,"&lt;&gt;",'📋 Data Pasien'!D62:D62)</f>
        <v/>
      </c>
      <c r="F13" s="170">
        <f>SUMIFS('📋 Data Pasien'!G62:G62,'📋 Data Pasien'!H62:H62,"Cash",'📋 Data Pasien'!F62:F62,"Ambil Obat")</f>
        <v/>
      </c>
      <c r="G13" s="171">
        <f>SUMIFS('📋 Data Pasien'!G62:G62,'📋 Data Pasien'!H62:H62,"Transfer Bank",'📋 Data Pasien'!F62:F62,"Ambil Obat")</f>
        <v/>
      </c>
      <c r="H13" s="172">
        <f>SUMIF('📋 Data Pasien'!F62:F62,"Ambil Obat",'📋 Data Pasien'!G62:G62)</f>
        <v/>
      </c>
      <c r="I13" s="173">
        <f>IF(E13=0,"",E13+H13)</f>
        <v/>
      </c>
    </row>
    <row r="14" ht="21.75" customHeight="1" s="314">
      <c r="A14" s="174">
        <f>IF(COUNTA('📋 Data Pasien'!C65:C65)=0,"— 10 Apr 2026 —","Jum 10 Apr 2026")</f>
        <v/>
      </c>
      <c r="B14" s="175">
        <f>COUNTA('📋 Data Pasien'!C65:C65)</f>
        <v/>
      </c>
      <c r="C14" s="170">
        <f>SUMIF('📋 Data Pasien'!E65:E65,"Cash",'📋 Data Pasien'!D65:D65)</f>
        <v/>
      </c>
      <c r="D14" s="171">
        <f>SUMIF('📋 Data Pasien'!E65:E65,"Transfer Bank",'📋 Data Pasien'!D65:D65)</f>
        <v/>
      </c>
      <c r="E14" s="176">
        <f>SUMIF('📋 Data Pasien'!C65:C65,"&lt;&gt;",'📋 Data Pasien'!D65:D65)</f>
        <v/>
      </c>
      <c r="F14" s="170">
        <f>SUMIFS('📋 Data Pasien'!G65:G65,'📋 Data Pasien'!H65:H65,"Cash",'📋 Data Pasien'!F65:F65,"Ambil Obat")</f>
        <v/>
      </c>
      <c r="G14" s="171">
        <f>SUMIFS('📋 Data Pasien'!G65:G65,'📋 Data Pasien'!H65:H65,"Transfer Bank",'📋 Data Pasien'!F65:F65,"Ambil Obat")</f>
        <v/>
      </c>
      <c r="H14" s="176">
        <f>SUMIF('📋 Data Pasien'!F65:F65,"Ambil Obat",'📋 Data Pasien'!G65:G65)</f>
        <v/>
      </c>
      <c r="I14" s="173">
        <f>IF(E14=0,"",E14+H14)</f>
        <v/>
      </c>
    </row>
    <row r="15" ht="21.75" customHeight="1" s="314">
      <c r="A15" s="168">
        <f>IF(COUNTA('📋 Data Pasien'!C68:C68)=0,"— 11 Apr 2026 —","Sab 11 Apr 2026")</f>
        <v/>
      </c>
      <c r="B15" s="169">
        <f>COUNTA('📋 Data Pasien'!C68:C68)</f>
        <v/>
      </c>
      <c r="C15" s="170">
        <f>SUMIF('📋 Data Pasien'!E68:E68,"Cash",'📋 Data Pasien'!D68:D68)</f>
        <v/>
      </c>
      <c r="D15" s="171">
        <f>SUMIF('📋 Data Pasien'!E68:E68,"Transfer Bank",'📋 Data Pasien'!D68:D68)</f>
        <v/>
      </c>
      <c r="E15" s="172">
        <f>SUMIF('📋 Data Pasien'!C68:C68,"&lt;&gt;",'📋 Data Pasien'!D68:D68)</f>
        <v/>
      </c>
      <c r="F15" s="170">
        <f>SUMIFS('📋 Data Pasien'!G68:G68,'📋 Data Pasien'!H68:H68,"Cash",'📋 Data Pasien'!F68:F68,"Ambil Obat")</f>
        <v/>
      </c>
      <c r="G15" s="171">
        <f>SUMIFS('📋 Data Pasien'!G68:G68,'📋 Data Pasien'!H68:H68,"Transfer Bank",'📋 Data Pasien'!F68:F68,"Ambil Obat")</f>
        <v/>
      </c>
      <c r="H15" s="172">
        <f>SUMIF('📋 Data Pasien'!F68:F68,"Ambil Obat",'📋 Data Pasien'!G68:G68)</f>
        <v/>
      </c>
      <c r="I15" s="173">
        <f>IF(E15=0,"",E15+H15)</f>
        <v/>
      </c>
    </row>
    <row r="16" ht="21.75" customHeight="1" s="314">
      <c r="A16" s="174">
        <f>IF(COUNTA('📋 Data Pasien'!C71:C71)=0,"— 12 Apr 2026 —","Min 12 Apr 2026")</f>
        <v/>
      </c>
      <c r="B16" s="175">
        <f>COUNTA('📋 Data Pasien'!C71:C71)</f>
        <v/>
      </c>
      <c r="C16" s="170">
        <f>SUMIF('📋 Data Pasien'!E71:E71,"Cash",'📋 Data Pasien'!D71:D71)</f>
        <v/>
      </c>
      <c r="D16" s="171">
        <f>SUMIF('📋 Data Pasien'!E71:E71,"Transfer Bank",'📋 Data Pasien'!D71:D71)</f>
        <v/>
      </c>
      <c r="E16" s="176">
        <f>SUMIF('📋 Data Pasien'!C71:C71,"&lt;&gt;",'📋 Data Pasien'!D71:D71)</f>
        <v/>
      </c>
      <c r="F16" s="170">
        <f>SUMIFS('📋 Data Pasien'!G71:G71,'📋 Data Pasien'!H71:H71,"Cash",'📋 Data Pasien'!F71:F71,"Ambil Obat")</f>
        <v/>
      </c>
      <c r="G16" s="171">
        <f>SUMIFS('📋 Data Pasien'!G71:G71,'📋 Data Pasien'!H71:H71,"Transfer Bank",'📋 Data Pasien'!F71:F71,"Ambil Obat")</f>
        <v/>
      </c>
      <c r="H16" s="176">
        <f>SUMIF('📋 Data Pasien'!F71:F71,"Ambil Obat",'📋 Data Pasien'!G71:G71)</f>
        <v/>
      </c>
      <c r="I16" s="173">
        <f>IF(E16=0,"",E16+H16)</f>
        <v/>
      </c>
    </row>
    <row r="17" ht="21.75" customHeight="1" s="314">
      <c r="A17" s="168">
        <f>IF(COUNTA('📋 Data Pasien'!C74:C74)=0,"— 13 Apr 2026 —","Sen 13 Apr 2026")</f>
        <v/>
      </c>
      <c r="B17" s="169">
        <f>COUNTA('📋 Data Pasien'!C74:C74)</f>
        <v/>
      </c>
      <c r="C17" s="170">
        <f>SUMIF('📋 Data Pasien'!E74:E74,"Cash",'📋 Data Pasien'!D74:D74)</f>
        <v/>
      </c>
      <c r="D17" s="171">
        <f>SUMIF('📋 Data Pasien'!E74:E74,"Transfer Bank",'📋 Data Pasien'!D74:D74)</f>
        <v/>
      </c>
      <c r="E17" s="172">
        <f>SUMIF('📋 Data Pasien'!C74:C74,"&lt;&gt;",'📋 Data Pasien'!D74:D74)</f>
        <v/>
      </c>
      <c r="F17" s="170">
        <f>SUMIFS('📋 Data Pasien'!G74:G74,'📋 Data Pasien'!H74:H74,"Cash",'📋 Data Pasien'!F74:F74,"Ambil Obat")</f>
        <v/>
      </c>
      <c r="G17" s="171">
        <f>SUMIFS('📋 Data Pasien'!G74:G74,'📋 Data Pasien'!H74:H74,"Transfer Bank",'📋 Data Pasien'!F74:F74,"Ambil Obat")</f>
        <v/>
      </c>
      <c r="H17" s="172">
        <f>SUMIF('📋 Data Pasien'!F74:F74,"Ambil Obat",'📋 Data Pasien'!G74:G74)</f>
        <v/>
      </c>
      <c r="I17" s="173">
        <f>IF(E17=0,"",E17+H17)</f>
        <v/>
      </c>
    </row>
    <row r="18" ht="21.75" customHeight="1" s="314">
      <c r="A18" s="174">
        <f>IF(COUNTA('📋 Data Pasien'!C77:C77)=0,"— 14 Apr 2026 —","Sel 14 Apr 2026")</f>
        <v/>
      </c>
      <c r="B18" s="175">
        <f>COUNTA('📋 Data Pasien'!C77:C77)</f>
        <v/>
      </c>
      <c r="C18" s="170">
        <f>SUMIF('📋 Data Pasien'!E77:E77,"Cash",'📋 Data Pasien'!D77:D77)</f>
        <v/>
      </c>
      <c r="D18" s="171">
        <f>SUMIF('📋 Data Pasien'!E77:E77,"Transfer Bank",'📋 Data Pasien'!D77:D77)</f>
        <v/>
      </c>
      <c r="E18" s="176">
        <f>SUMIF('📋 Data Pasien'!C77:C77,"&lt;&gt;",'📋 Data Pasien'!D77:D77)</f>
        <v/>
      </c>
      <c r="F18" s="170">
        <f>SUMIFS('📋 Data Pasien'!G77:G77,'📋 Data Pasien'!H77:H77,"Cash",'📋 Data Pasien'!F77:F77,"Ambil Obat")</f>
        <v/>
      </c>
      <c r="G18" s="171">
        <f>SUMIFS('📋 Data Pasien'!G77:G77,'📋 Data Pasien'!H77:H77,"Transfer Bank",'📋 Data Pasien'!F77:F77,"Ambil Obat")</f>
        <v/>
      </c>
      <c r="H18" s="176">
        <f>SUMIF('📋 Data Pasien'!F77:F77,"Ambil Obat",'📋 Data Pasien'!G77:G77)</f>
        <v/>
      </c>
      <c r="I18" s="173">
        <f>IF(E18=0,"",E18+H18)</f>
        <v/>
      </c>
    </row>
    <row r="19" ht="21.75" customHeight="1" s="314">
      <c r="A19" s="168">
        <f>IF(COUNTA('📋 Data Pasien'!C80:C80)=0,"— 15 Apr 2026 —","Rab 15 Apr 2026")</f>
        <v/>
      </c>
      <c r="B19" s="169">
        <f>COUNTA('📋 Data Pasien'!C80:C80)</f>
        <v/>
      </c>
      <c r="C19" s="170">
        <f>SUMIF('📋 Data Pasien'!E80:E80,"Cash",'📋 Data Pasien'!D80:D80)</f>
        <v/>
      </c>
      <c r="D19" s="171">
        <f>SUMIF('📋 Data Pasien'!E80:E80,"Transfer Bank",'📋 Data Pasien'!D80:D80)</f>
        <v/>
      </c>
      <c r="E19" s="172">
        <f>SUMIF('📋 Data Pasien'!C80:C80,"&lt;&gt;",'📋 Data Pasien'!D80:D80)</f>
        <v/>
      </c>
      <c r="F19" s="170">
        <f>SUMIFS('📋 Data Pasien'!G80:G80,'📋 Data Pasien'!H80:H80,"Cash",'📋 Data Pasien'!F80:F80,"Ambil Obat")</f>
        <v/>
      </c>
      <c r="G19" s="171">
        <f>SUMIFS('📋 Data Pasien'!G80:G80,'📋 Data Pasien'!H80:H80,"Transfer Bank",'📋 Data Pasien'!F80:F80,"Ambil Obat")</f>
        <v/>
      </c>
      <c r="H19" s="172">
        <f>SUMIF('📋 Data Pasien'!F80:F80,"Ambil Obat",'📋 Data Pasien'!G80:G80)</f>
        <v/>
      </c>
      <c r="I19" s="173">
        <f>IF(E19=0,"",E19+H19)</f>
        <v/>
      </c>
    </row>
    <row r="20" ht="21.75" customHeight="1" s="314">
      <c r="A20" s="174">
        <f>IF(COUNTA('📋 Data Pasien'!C83:C83)=0,"— 16 Apr 2026 —","Kam 16 Apr 2026")</f>
        <v/>
      </c>
      <c r="B20" s="175">
        <f>COUNTA('📋 Data Pasien'!C83:C83)</f>
        <v/>
      </c>
      <c r="C20" s="170">
        <f>SUMIF('📋 Data Pasien'!E83:E83,"Cash",'📋 Data Pasien'!D83:D83)</f>
        <v/>
      </c>
      <c r="D20" s="171">
        <f>SUMIF('📋 Data Pasien'!E83:E83,"Transfer Bank",'📋 Data Pasien'!D83:D83)</f>
        <v/>
      </c>
      <c r="E20" s="176">
        <f>SUMIF('📋 Data Pasien'!C83:C83,"&lt;&gt;",'📋 Data Pasien'!D83:D83)</f>
        <v/>
      </c>
      <c r="F20" s="170">
        <f>SUMIFS('📋 Data Pasien'!G83:G83,'📋 Data Pasien'!H83:H83,"Cash",'📋 Data Pasien'!F83:F83,"Ambil Obat")</f>
        <v/>
      </c>
      <c r="G20" s="171">
        <f>SUMIFS('📋 Data Pasien'!G83:G83,'📋 Data Pasien'!H83:H83,"Transfer Bank",'📋 Data Pasien'!F83:F83,"Ambil Obat")</f>
        <v/>
      </c>
      <c r="H20" s="176">
        <f>SUMIF('📋 Data Pasien'!F83:F83,"Ambil Obat",'📋 Data Pasien'!G83:G83)</f>
        <v/>
      </c>
      <c r="I20" s="173">
        <f>IF(E20=0,"",E20+H20)</f>
        <v/>
      </c>
    </row>
    <row r="21" ht="21.75" customHeight="1" s="314">
      <c r="A21" s="168">
        <f>IF(COUNTA('📋 Data Pasien'!C86:C86)=0,"— 17 Apr 2026 —","Jum 17 Apr 2026")</f>
        <v/>
      </c>
      <c r="B21" s="169">
        <f>COUNTA('📋 Data Pasien'!C86:C86)</f>
        <v/>
      </c>
      <c r="C21" s="170">
        <f>SUMIF('📋 Data Pasien'!E86:E86,"Cash",'📋 Data Pasien'!D86:D86)</f>
        <v/>
      </c>
      <c r="D21" s="171">
        <f>SUMIF('📋 Data Pasien'!E86:E86,"Transfer Bank",'📋 Data Pasien'!D86:D86)</f>
        <v/>
      </c>
      <c r="E21" s="172">
        <f>SUMIF('📋 Data Pasien'!C86:C86,"&lt;&gt;",'📋 Data Pasien'!D86:D86)</f>
        <v/>
      </c>
      <c r="F21" s="170">
        <f>SUMIFS('📋 Data Pasien'!G86:G86,'📋 Data Pasien'!H86:H86,"Cash",'📋 Data Pasien'!F86:F86,"Ambil Obat")</f>
        <v/>
      </c>
      <c r="G21" s="171">
        <f>SUMIFS('📋 Data Pasien'!G86:G86,'📋 Data Pasien'!H86:H86,"Transfer Bank",'📋 Data Pasien'!F86:F86,"Ambil Obat")</f>
        <v/>
      </c>
      <c r="H21" s="172">
        <f>SUMIF('📋 Data Pasien'!F86:F86,"Ambil Obat",'📋 Data Pasien'!G86:G86)</f>
        <v/>
      </c>
      <c r="I21" s="173">
        <f>IF(E21=0,"",E21+H21)</f>
        <v/>
      </c>
    </row>
    <row r="22" ht="21.75" customHeight="1" s="314">
      <c r="A22" s="174">
        <f>IF(COUNTA('📋 Data Pasien'!C89:C89)=0,"— 18 Apr 2026 —","Sab 18 Apr 2026")</f>
        <v/>
      </c>
      <c r="B22" s="175">
        <f>COUNTA('📋 Data Pasien'!C89:C89)</f>
        <v/>
      </c>
      <c r="C22" s="170">
        <f>SUMIF('📋 Data Pasien'!E89:E89,"Cash",'📋 Data Pasien'!D89:D89)</f>
        <v/>
      </c>
      <c r="D22" s="171">
        <f>SUMIF('📋 Data Pasien'!E89:E89,"Transfer Bank",'📋 Data Pasien'!D89:D89)</f>
        <v/>
      </c>
      <c r="E22" s="176">
        <f>SUMIF('📋 Data Pasien'!C89:C89,"&lt;&gt;",'📋 Data Pasien'!D89:D89)</f>
        <v/>
      </c>
      <c r="F22" s="170">
        <f>SUMIFS('📋 Data Pasien'!G89:G89,'📋 Data Pasien'!H89:H89,"Cash",'📋 Data Pasien'!F89:F89,"Ambil Obat")</f>
        <v/>
      </c>
      <c r="G22" s="171">
        <f>SUMIFS('📋 Data Pasien'!G89:G89,'📋 Data Pasien'!H89:H89,"Transfer Bank",'📋 Data Pasien'!F89:F89,"Ambil Obat")</f>
        <v/>
      </c>
      <c r="H22" s="176">
        <f>SUMIF('📋 Data Pasien'!F89:F89,"Ambil Obat",'📋 Data Pasien'!G89:G89)</f>
        <v/>
      </c>
      <c r="I22" s="173">
        <f>IF(E22=0,"",E22+H22)</f>
        <v/>
      </c>
    </row>
    <row r="23" ht="21.75" customHeight="1" s="314">
      <c r="A23" s="168">
        <f>IF(COUNTA('📋 Data Pasien'!C92:C92)=0,"— 19 Apr 2026 —","Min 19 Apr 2026")</f>
        <v/>
      </c>
      <c r="B23" s="169">
        <f>COUNTA('📋 Data Pasien'!C92:C92)</f>
        <v/>
      </c>
      <c r="C23" s="170">
        <f>SUMIF('📋 Data Pasien'!E92:E92,"Cash",'📋 Data Pasien'!D92:D92)</f>
        <v/>
      </c>
      <c r="D23" s="171">
        <f>SUMIF('📋 Data Pasien'!E92:E92,"Transfer Bank",'📋 Data Pasien'!D92:D92)</f>
        <v/>
      </c>
      <c r="E23" s="172">
        <f>SUMIF('📋 Data Pasien'!C92:C92,"&lt;&gt;",'📋 Data Pasien'!D92:D92)</f>
        <v/>
      </c>
      <c r="F23" s="170">
        <f>SUMIFS('📋 Data Pasien'!G92:G92,'📋 Data Pasien'!H92:H92,"Cash",'📋 Data Pasien'!F92:F92,"Ambil Obat")</f>
        <v/>
      </c>
      <c r="G23" s="171">
        <f>SUMIFS('📋 Data Pasien'!G92:G92,'📋 Data Pasien'!H92:H92,"Transfer Bank",'📋 Data Pasien'!F92:F92,"Ambil Obat")</f>
        <v/>
      </c>
      <c r="H23" s="172">
        <f>SUMIF('📋 Data Pasien'!F92:F92,"Ambil Obat",'📋 Data Pasien'!G92:G92)</f>
        <v/>
      </c>
      <c r="I23" s="173">
        <f>IF(E23=0,"",E23+H23)</f>
        <v/>
      </c>
    </row>
    <row r="24" ht="21.75" customHeight="1" s="314">
      <c r="A24" s="174">
        <f>IF(COUNTA('📋 Data Pasien'!C95:C95)=0,"— 20 Apr 2026 —","Sen 20 Apr 2026")</f>
        <v/>
      </c>
      <c r="B24" s="175">
        <f>COUNTA('📋 Data Pasien'!C95:C95)</f>
        <v/>
      </c>
      <c r="C24" s="170">
        <f>SUMIF('📋 Data Pasien'!E95:E95,"Cash",'📋 Data Pasien'!D95:D95)</f>
        <v/>
      </c>
      <c r="D24" s="171">
        <f>SUMIF('📋 Data Pasien'!E95:E95,"Transfer Bank",'📋 Data Pasien'!D95:D95)</f>
        <v/>
      </c>
      <c r="E24" s="176">
        <f>SUMIF('📋 Data Pasien'!C95:C95,"&lt;&gt;",'📋 Data Pasien'!D95:D95)</f>
        <v/>
      </c>
      <c r="F24" s="170">
        <f>SUMIFS('📋 Data Pasien'!G95:G95,'📋 Data Pasien'!H95:H95,"Cash",'📋 Data Pasien'!F95:F95,"Ambil Obat")</f>
        <v/>
      </c>
      <c r="G24" s="171">
        <f>SUMIFS('📋 Data Pasien'!G95:G95,'📋 Data Pasien'!H95:H95,"Transfer Bank",'📋 Data Pasien'!F95:F95,"Ambil Obat")</f>
        <v/>
      </c>
      <c r="H24" s="176">
        <f>SUMIF('📋 Data Pasien'!F95:F95,"Ambil Obat",'📋 Data Pasien'!G95:G95)</f>
        <v/>
      </c>
      <c r="I24" s="173">
        <f>IF(E24=0,"",E24+H24)</f>
        <v/>
      </c>
    </row>
    <row r="25" ht="21.75" customHeight="1" s="314">
      <c r="A25" s="168">
        <f>IF(COUNTA('📋 Data Pasien'!C98:C98)=0,"— 21 Apr 2026 —","Sel 21 Apr 2026")</f>
        <v/>
      </c>
      <c r="B25" s="169">
        <f>COUNTA('📋 Data Pasien'!C98:C98)</f>
        <v/>
      </c>
      <c r="C25" s="170">
        <f>SUMIF('📋 Data Pasien'!E98:E98,"Cash",'📋 Data Pasien'!D98:D98)</f>
        <v/>
      </c>
      <c r="D25" s="171">
        <f>SUMIF('📋 Data Pasien'!E98:E98,"Transfer Bank",'📋 Data Pasien'!D98:D98)</f>
        <v/>
      </c>
      <c r="E25" s="172">
        <f>SUMIF('📋 Data Pasien'!C98:C98,"&lt;&gt;",'📋 Data Pasien'!D98:D98)</f>
        <v/>
      </c>
      <c r="F25" s="170">
        <f>SUMIFS('📋 Data Pasien'!G98:G98,'📋 Data Pasien'!H98:H98,"Cash",'📋 Data Pasien'!F98:F98,"Ambil Obat")</f>
        <v/>
      </c>
      <c r="G25" s="171">
        <f>SUMIFS('📋 Data Pasien'!G98:G98,'📋 Data Pasien'!H98:H98,"Transfer Bank",'📋 Data Pasien'!F98:F98,"Ambil Obat")</f>
        <v/>
      </c>
      <c r="H25" s="172">
        <f>SUMIF('📋 Data Pasien'!F98:F98,"Ambil Obat",'📋 Data Pasien'!G98:G98)</f>
        <v/>
      </c>
      <c r="I25" s="173">
        <f>IF(E25=0,"",E25+H25)</f>
        <v/>
      </c>
    </row>
    <row r="26" ht="21.75" customHeight="1" s="314">
      <c r="A26" s="174">
        <f>IF(COUNTA('📋 Data Pasien'!C101:C101)=0,"— 22 Apr 2026 —","Rab 22 Apr 2026")</f>
        <v/>
      </c>
      <c r="B26" s="175">
        <f>COUNTA('📋 Data Pasien'!C101:C101)</f>
        <v/>
      </c>
      <c r="C26" s="170">
        <f>SUMIF('📋 Data Pasien'!E101:E101,"Cash",'📋 Data Pasien'!D101:D101)</f>
        <v/>
      </c>
      <c r="D26" s="171">
        <f>SUMIF('📋 Data Pasien'!E101:E101,"Transfer Bank",'📋 Data Pasien'!D101:D101)</f>
        <v/>
      </c>
      <c r="E26" s="176">
        <f>SUMIF('📋 Data Pasien'!C101:C101,"&lt;&gt;",'📋 Data Pasien'!D101:D101)</f>
        <v/>
      </c>
      <c r="F26" s="170">
        <f>SUMIFS('📋 Data Pasien'!G101:G101,'📋 Data Pasien'!H101:H101,"Cash",'📋 Data Pasien'!F101:F101,"Ambil Obat")</f>
        <v/>
      </c>
      <c r="G26" s="171">
        <f>SUMIFS('📋 Data Pasien'!G101:G101,'📋 Data Pasien'!H101:H101,"Transfer Bank",'📋 Data Pasien'!F101:F101,"Ambil Obat")</f>
        <v/>
      </c>
      <c r="H26" s="176">
        <f>SUMIF('📋 Data Pasien'!F101:F101,"Ambil Obat",'📋 Data Pasien'!G101:G101)</f>
        <v/>
      </c>
      <c r="I26" s="173">
        <f>IF(E26=0,"",E26+H26)</f>
        <v/>
      </c>
    </row>
    <row r="27" ht="21.75" customHeight="1" s="314">
      <c r="A27" s="168">
        <f>IF(COUNTA('📋 Data Pasien'!C104:C104)=0,"— 23 Apr 2026 —","Kam 23 Apr 2026")</f>
        <v/>
      </c>
      <c r="B27" s="169">
        <f>COUNTA('📋 Data Pasien'!C104:C104)</f>
        <v/>
      </c>
      <c r="C27" s="170">
        <f>SUMIF('📋 Data Pasien'!E104:E104,"Cash",'📋 Data Pasien'!D104:D104)</f>
        <v/>
      </c>
      <c r="D27" s="171">
        <f>SUMIF('📋 Data Pasien'!E104:E104,"Transfer Bank",'📋 Data Pasien'!D104:D104)</f>
        <v/>
      </c>
      <c r="E27" s="172">
        <f>SUMIF('📋 Data Pasien'!C104:C104,"&lt;&gt;",'📋 Data Pasien'!D104:D104)</f>
        <v/>
      </c>
      <c r="F27" s="170">
        <f>SUMIFS('📋 Data Pasien'!G104:G104,'📋 Data Pasien'!H104:H104,"Cash",'📋 Data Pasien'!F104:F104,"Ambil Obat")</f>
        <v/>
      </c>
      <c r="G27" s="171">
        <f>SUMIFS('📋 Data Pasien'!G104:G104,'📋 Data Pasien'!H104:H104,"Transfer Bank",'📋 Data Pasien'!F104:F104,"Ambil Obat")</f>
        <v/>
      </c>
      <c r="H27" s="172">
        <f>SUMIF('📋 Data Pasien'!F104:F104,"Ambil Obat",'📋 Data Pasien'!G104:G104)</f>
        <v/>
      </c>
      <c r="I27" s="173">
        <f>IF(E27=0,"",E27+H27)</f>
        <v/>
      </c>
    </row>
    <row r="28" ht="21.75" customHeight="1" s="314">
      <c r="A28" s="174">
        <f>IF(COUNTA('📋 Data Pasien'!C107:C107)=0,"— 24 Apr 2026 —","Jum 24 Apr 2026")</f>
        <v/>
      </c>
      <c r="B28" s="175">
        <f>COUNTA('📋 Data Pasien'!C107:C107)</f>
        <v/>
      </c>
      <c r="C28" s="170">
        <f>SUMIF('📋 Data Pasien'!E107:E107,"Cash",'📋 Data Pasien'!D107:D107)</f>
        <v/>
      </c>
      <c r="D28" s="171">
        <f>SUMIF('📋 Data Pasien'!E107:E107,"Transfer Bank",'📋 Data Pasien'!D107:D107)</f>
        <v/>
      </c>
      <c r="E28" s="176">
        <f>SUMIF('📋 Data Pasien'!C107:C107,"&lt;&gt;",'📋 Data Pasien'!D107:D107)</f>
        <v/>
      </c>
      <c r="F28" s="170">
        <f>SUMIFS('📋 Data Pasien'!G107:G107,'📋 Data Pasien'!H107:H107,"Cash",'📋 Data Pasien'!F107:F107,"Ambil Obat")</f>
        <v/>
      </c>
      <c r="G28" s="171">
        <f>SUMIFS('📋 Data Pasien'!G107:G107,'📋 Data Pasien'!H107:H107,"Transfer Bank",'📋 Data Pasien'!F107:F107,"Ambil Obat")</f>
        <v/>
      </c>
      <c r="H28" s="176">
        <f>SUMIF('📋 Data Pasien'!F107:F107,"Ambil Obat",'📋 Data Pasien'!G107:G107)</f>
        <v/>
      </c>
      <c r="I28" s="173">
        <f>IF(E28=0,"",E28+H28)</f>
        <v/>
      </c>
    </row>
    <row r="29" ht="21.75" customHeight="1" s="314">
      <c r="A29" s="168">
        <f>IF(COUNTA('📋 Data Pasien'!C110:C110)=0,"— 25 Apr 2026 —","Sab 25 Apr 2026")</f>
        <v/>
      </c>
      <c r="B29" s="169">
        <f>COUNTA('📋 Data Pasien'!C110:C110)</f>
        <v/>
      </c>
      <c r="C29" s="170">
        <f>SUMIF('📋 Data Pasien'!E110:E110,"Cash",'📋 Data Pasien'!D110:D110)</f>
        <v/>
      </c>
      <c r="D29" s="171">
        <f>SUMIF('📋 Data Pasien'!E110:E110,"Transfer Bank",'📋 Data Pasien'!D110:D110)</f>
        <v/>
      </c>
      <c r="E29" s="172">
        <f>SUMIF('📋 Data Pasien'!C110:C110,"&lt;&gt;",'📋 Data Pasien'!D110:D110)</f>
        <v/>
      </c>
      <c r="F29" s="170">
        <f>SUMIFS('📋 Data Pasien'!G110:G110,'📋 Data Pasien'!H110:H110,"Cash",'📋 Data Pasien'!F110:F110,"Ambil Obat")</f>
        <v/>
      </c>
      <c r="G29" s="171">
        <f>SUMIFS('📋 Data Pasien'!G110:G110,'📋 Data Pasien'!H110:H110,"Transfer Bank",'📋 Data Pasien'!F110:F110,"Ambil Obat")</f>
        <v/>
      </c>
      <c r="H29" s="172">
        <f>SUMIF('📋 Data Pasien'!F110:F110,"Ambil Obat",'📋 Data Pasien'!G110:G110)</f>
        <v/>
      </c>
      <c r="I29" s="173">
        <f>IF(E29=0,"",E29+H29)</f>
        <v/>
      </c>
    </row>
    <row r="30" ht="21.75" customHeight="1" s="314">
      <c r="A30" s="174">
        <f>IF(COUNTA('📋 Data Pasien'!C113:C113)=0,"— 26 Apr 2026 —","Min 26 Apr 2026")</f>
        <v/>
      </c>
      <c r="B30" s="175">
        <f>COUNTA('📋 Data Pasien'!C113:C113)</f>
        <v/>
      </c>
      <c r="C30" s="170">
        <f>SUMIF('📋 Data Pasien'!E113:E113,"Cash",'📋 Data Pasien'!D113:D113)</f>
        <v/>
      </c>
      <c r="D30" s="171">
        <f>SUMIF('📋 Data Pasien'!E113:E113,"Transfer Bank",'📋 Data Pasien'!D113:D113)</f>
        <v/>
      </c>
      <c r="E30" s="176">
        <f>SUMIF('📋 Data Pasien'!C113:C113,"&lt;&gt;",'📋 Data Pasien'!D113:D113)</f>
        <v/>
      </c>
      <c r="F30" s="170">
        <f>SUMIFS('📋 Data Pasien'!G113:G113,'📋 Data Pasien'!H113:H113,"Cash",'📋 Data Pasien'!F113:F113,"Ambil Obat")</f>
        <v/>
      </c>
      <c r="G30" s="171">
        <f>SUMIFS('📋 Data Pasien'!G113:G113,'📋 Data Pasien'!H113:H113,"Transfer Bank",'📋 Data Pasien'!F113:F113,"Ambil Obat")</f>
        <v/>
      </c>
      <c r="H30" s="176">
        <f>SUMIF('📋 Data Pasien'!F113:F113,"Ambil Obat",'📋 Data Pasien'!G113:G113)</f>
        <v/>
      </c>
      <c r="I30" s="173">
        <f>IF(E30=0,"",E30+H30)</f>
        <v/>
      </c>
    </row>
    <row r="31" ht="21.75" customHeight="1" s="314">
      <c r="A31" s="168">
        <f>IF(COUNTA('📋 Data Pasien'!C116:C116)=0,"— 27 Apr 2026 —","Sen 27 Apr 2026")</f>
        <v/>
      </c>
      <c r="B31" s="169">
        <f>COUNTA('📋 Data Pasien'!C116:C116)</f>
        <v/>
      </c>
      <c r="C31" s="170">
        <f>SUMIF('📋 Data Pasien'!E116:E116,"Cash",'📋 Data Pasien'!D116:D116)</f>
        <v/>
      </c>
      <c r="D31" s="171">
        <f>SUMIF('📋 Data Pasien'!E116:E116,"Transfer Bank",'📋 Data Pasien'!D116:D116)</f>
        <v/>
      </c>
      <c r="E31" s="172">
        <f>SUMIF('📋 Data Pasien'!C116:C116,"&lt;&gt;",'📋 Data Pasien'!D116:D116)</f>
        <v/>
      </c>
      <c r="F31" s="170">
        <f>SUMIFS('📋 Data Pasien'!G116:G116,'📋 Data Pasien'!H116:H116,"Cash",'📋 Data Pasien'!F116:F116,"Ambil Obat")</f>
        <v/>
      </c>
      <c r="G31" s="171">
        <f>SUMIFS('📋 Data Pasien'!G116:G116,'📋 Data Pasien'!H116:H116,"Transfer Bank",'📋 Data Pasien'!F116:F116,"Ambil Obat")</f>
        <v/>
      </c>
      <c r="H31" s="172">
        <f>SUMIF('📋 Data Pasien'!F116:F116,"Ambil Obat",'📋 Data Pasien'!G116:G116)</f>
        <v/>
      </c>
      <c r="I31" s="173">
        <f>IF(E31=0,"",E31+H31)</f>
        <v/>
      </c>
    </row>
    <row r="32" ht="21.75" customHeight="1" s="314">
      <c r="A32" s="174">
        <f>IF(COUNTA('📋 Data Pasien'!C119:C122)=0,"— 28 Apr 2026 —","Sel 28 Apr 2026")</f>
        <v/>
      </c>
      <c r="B32" s="175">
        <f>COUNTA('📋 Data Pasien'!C119:C122)</f>
        <v/>
      </c>
      <c r="C32" s="170">
        <f>SUMIF('📋 Data Pasien'!E119:E122,"Cash",'📋 Data Pasien'!D119:D122)</f>
        <v/>
      </c>
      <c r="D32" s="171">
        <f>SUMIF('📋 Data Pasien'!E119:E122,"Transfer Bank",'📋 Data Pasien'!D119:D122)</f>
        <v/>
      </c>
      <c r="E32" s="176">
        <f>SUMIF('📋 Data Pasien'!C119:C122,"&lt;&gt;",'📋 Data Pasien'!D119:D122)</f>
        <v/>
      </c>
      <c r="F32" s="170">
        <f>SUMIFS('📋 Data Pasien'!G119:G122,'📋 Data Pasien'!H119:H122,"Cash",'📋 Data Pasien'!F119:F122,"Ambil Obat")</f>
        <v/>
      </c>
      <c r="G32" s="171">
        <f>SUMIFS('📋 Data Pasien'!G119:G122,'📋 Data Pasien'!H119:H122,"Transfer Bank",'📋 Data Pasien'!F119:F122,"Ambil Obat")</f>
        <v/>
      </c>
      <c r="H32" s="176">
        <f>SUMIF('📋 Data Pasien'!F119:F122,"Ambil Obat",'📋 Data Pasien'!G119:G122)</f>
        <v/>
      </c>
      <c r="I32" s="173">
        <f>IF(E32=0,"",E32+H32)</f>
        <v/>
      </c>
    </row>
    <row r="33" ht="21.75" customHeight="1" s="314">
      <c r="A33" s="168">
        <f>IF(COUNTA('📋 Data Pasien'!C125:C127)=0,"— 29 Apr 2026 —","Rab 29 Apr 2026")</f>
        <v/>
      </c>
      <c r="B33" s="169">
        <f>COUNTA('📋 Data Pasien'!C125:C127)</f>
        <v/>
      </c>
      <c r="C33" s="170">
        <f>SUMIF('📋 Data Pasien'!E125:E127,"Cash",'📋 Data Pasien'!D125:D127)</f>
        <v/>
      </c>
      <c r="D33" s="171">
        <f>SUMIF('📋 Data Pasien'!E125:E127,"Transfer Bank",'📋 Data Pasien'!D125:D127)</f>
        <v/>
      </c>
      <c r="E33" s="172">
        <f>SUMIF('📋 Data Pasien'!C125:C127,"&lt;&gt;",'📋 Data Pasien'!D125:D127)</f>
        <v/>
      </c>
      <c r="F33" s="170">
        <f>SUMIFS('📋 Data Pasien'!G125:G127,'📋 Data Pasien'!H125:H127,"Cash",'📋 Data Pasien'!F125:F127,"Ambil Obat")</f>
        <v/>
      </c>
      <c r="G33" s="171">
        <f>SUMIFS('📋 Data Pasien'!G125:G127,'📋 Data Pasien'!H125:H127,"Transfer Bank",'📋 Data Pasien'!F125:F127,"Ambil Obat")</f>
        <v/>
      </c>
      <c r="H33" s="172">
        <f>SUMIF('📋 Data Pasien'!F125:F127,"Ambil Obat",'📋 Data Pasien'!G125:G127)</f>
        <v/>
      </c>
      <c r="I33" s="173">
        <f>IF(E33=0,"",E33+H33)</f>
        <v/>
      </c>
    </row>
    <row r="34" ht="21.75" customHeight="1" s="314">
      <c r="A34" s="174">
        <f>IF(COUNTA('📋 Data Pasien'!C130:C130)=0,"— 30 Apr 2026 —","Kam 30 Apr 2026")</f>
        <v/>
      </c>
      <c r="B34" s="175">
        <f>COUNTA('📋 Data Pasien'!C130:C130)</f>
        <v/>
      </c>
      <c r="C34" s="170">
        <f>SUMIF('📋 Data Pasien'!E130:E130,"Cash",'📋 Data Pasien'!D130:D130)</f>
        <v/>
      </c>
      <c r="D34" s="171">
        <f>SUMIF('📋 Data Pasien'!E130:E130,"Transfer Bank",'📋 Data Pasien'!D130:D130)</f>
        <v/>
      </c>
      <c r="E34" s="176">
        <f>SUMIF('📋 Data Pasien'!C130:C130,"&lt;&gt;",'📋 Data Pasien'!D130:D130)</f>
        <v/>
      </c>
      <c r="F34" s="170">
        <f>SUMIFS('📋 Data Pasien'!G130:G130,'📋 Data Pasien'!H130:H130,"Cash",'📋 Data Pasien'!F130:F130,"Ambil Obat")</f>
        <v/>
      </c>
      <c r="G34" s="171">
        <f>SUMIFS('📋 Data Pasien'!G130:G130,'📋 Data Pasien'!H130:H130,"Transfer Bank",'📋 Data Pasien'!F130:F130,"Ambil Obat")</f>
        <v/>
      </c>
      <c r="H34" s="176">
        <f>SUMIF('📋 Data Pasien'!F130:F130,"Ambil Obat",'📋 Data Pasien'!G130:G130)</f>
        <v/>
      </c>
      <c r="I34" s="173">
        <f>IF(E34=0,"",E34+H34)</f>
        <v/>
      </c>
    </row>
    <row r="35" ht="21.75" customHeight="1" s="314">
      <c r="A35" s="168">
        <f>IF(COUNTA('📋 Data Pasien'!C133:C133)=0,"— 01 May 2026 —","Jum 01 Mei 2026")</f>
        <v/>
      </c>
      <c r="B35" s="169">
        <f>COUNTA('📋 Data Pasien'!C133:C133)</f>
        <v/>
      </c>
      <c r="C35" s="170">
        <f>SUMIF('📋 Data Pasien'!E133:E133,"Cash",'📋 Data Pasien'!D133:D133)</f>
        <v/>
      </c>
      <c r="D35" s="171">
        <f>SUMIF('📋 Data Pasien'!E133:E133,"Transfer Bank",'📋 Data Pasien'!D133:D133)</f>
        <v/>
      </c>
      <c r="E35" s="172">
        <f>SUMIF('📋 Data Pasien'!C133:C133,"&lt;&gt;",'📋 Data Pasien'!D133:D133)</f>
        <v/>
      </c>
      <c r="F35" s="170">
        <f>SUMIFS('📋 Data Pasien'!G133:G133,'📋 Data Pasien'!H133:H133,"Cash",'📋 Data Pasien'!F133:F133,"Ambil Obat")</f>
        <v/>
      </c>
      <c r="G35" s="171">
        <f>SUMIFS('📋 Data Pasien'!G133:G133,'📋 Data Pasien'!H133:H133,"Transfer Bank",'📋 Data Pasien'!F133:F133,"Ambil Obat")</f>
        <v/>
      </c>
      <c r="H35" s="172">
        <f>SUMIF('📋 Data Pasien'!F133:F133,"Ambil Obat",'📋 Data Pasien'!G133:G133)</f>
        <v/>
      </c>
      <c r="I35" s="173">
        <f>IF(E35=0,"",E35+H35)</f>
        <v/>
      </c>
    </row>
    <row r="36" ht="21.75" customHeight="1" s="314">
      <c r="A36" s="174">
        <f>IF(COUNTA('📋 Data Pasien'!C136:C145)=0,"— 02 May 2026 —","Sab 02 Mei 2026")</f>
        <v/>
      </c>
      <c r="B36" s="175">
        <f>COUNTA('📋 Data Pasien'!C136:C145)</f>
        <v/>
      </c>
      <c r="C36" s="170">
        <f>SUMIF('📋 Data Pasien'!E136:E145,"Cash",'📋 Data Pasien'!D136:D145)</f>
        <v/>
      </c>
      <c r="D36" s="171">
        <f>SUMIF('📋 Data Pasien'!E136:E145,"Transfer Bank",'📋 Data Pasien'!D136:D145)</f>
        <v/>
      </c>
      <c r="E36" s="176">
        <f>SUMIF('📋 Data Pasien'!C136:C145,"&lt;&gt;",'📋 Data Pasien'!D136:D145)</f>
        <v/>
      </c>
      <c r="F36" s="170">
        <f>SUMIFS('📋 Data Pasien'!G136:G145,'📋 Data Pasien'!H136:H145,"Cash",'📋 Data Pasien'!F136:F145,"Ambil Obat")</f>
        <v/>
      </c>
      <c r="G36" s="171">
        <f>SUMIFS('📋 Data Pasien'!G136:G145,'📋 Data Pasien'!H136:H145,"Transfer Bank",'📋 Data Pasien'!F136:F145,"Ambil Obat")</f>
        <v/>
      </c>
      <c r="H36" s="176">
        <f>SUMIF('📋 Data Pasien'!F136:F145,"Ambil Obat",'📋 Data Pasien'!G136:G145)</f>
        <v/>
      </c>
      <c r="I36" s="173">
        <f>IF(E36=0,"",E36+H36)</f>
        <v/>
      </c>
    </row>
    <row r="37" ht="21.75" customHeight="1" s="314">
      <c r="A37" s="168">
        <f>IF(COUNTA('📋 Data Pasien'!C148:C150)=0,"— 03 May 2026 —","Min 03 Mei 2026")</f>
        <v/>
      </c>
      <c r="B37" s="169">
        <f>COUNTA('📋 Data Pasien'!C148:C150)</f>
        <v/>
      </c>
      <c r="C37" s="170">
        <f>SUMIF('📋 Data Pasien'!E148:E150,"Cash",'📋 Data Pasien'!D148:D150)</f>
        <v/>
      </c>
      <c r="D37" s="171">
        <f>SUMIF('📋 Data Pasien'!E148:E150,"Transfer Bank",'📋 Data Pasien'!D148:D150)</f>
        <v/>
      </c>
      <c r="E37" s="172">
        <f>SUMIF('📋 Data Pasien'!C148:C150,"&lt;&gt;",'📋 Data Pasien'!D148:D150)</f>
        <v/>
      </c>
      <c r="F37" s="170">
        <f>SUMIFS('📋 Data Pasien'!G148:G150,'📋 Data Pasien'!H148:H150,"Cash",'📋 Data Pasien'!F148:F150,"Ambil Obat")</f>
        <v/>
      </c>
      <c r="G37" s="171">
        <f>SUMIFS('📋 Data Pasien'!G148:G150,'📋 Data Pasien'!H148:H150,"Transfer Bank",'📋 Data Pasien'!F148:F150,"Ambil Obat")</f>
        <v/>
      </c>
      <c r="H37" s="172">
        <f>SUMIF('📋 Data Pasien'!F148:F150,"Ambil Obat",'📋 Data Pasien'!G148:G150)</f>
        <v/>
      </c>
      <c r="I37" s="173">
        <f>IF(E37=0,"",E37+H37)</f>
        <v/>
      </c>
    </row>
    <row r="38" ht="21.75" customHeight="1" s="314">
      <c r="A38" s="174">
        <f>IF(COUNTA('📋 Data Pasien'!C153:C162)=0,"— 04 May 2026 —","Sen 04 Mei 2026")</f>
        <v/>
      </c>
      <c r="B38" s="175">
        <f>COUNTA('📋 Data Pasien'!C153:C162)</f>
        <v/>
      </c>
      <c r="C38" s="170">
        <f>SUMIF('📋 Data Pasien'!E153:E162,"Cash",'📋 Data Pasien'!D153:D162)</f>
        <v/>
      </c>
      <c r="D38" s="171">
        <f>SUMIF('📋 Data Pasien'!E153:E162,"Transfer Bank",'📋 Data Pasien'!D153:D162)</f>
        <v/>
      </c>
      <c r="E38" s="176">
        <f>SUMIF('📋 Data Pasien'!C153:C162,"&lt;&gt;",'📋 Data Pasien'!D153:D162)</f>
        <v/>
      </c>
      <c r="F38" s="170">
        <f>SUMIFS('📋 Data Pasien'!G153:G162,'📋 Data Pasien'!H153:H162,"Cash",'📋 Data Pasien'!F153:F162,"Ambil Obat")</f>
        <v/>
      </c>
      <c r="G38" s="171">
        <f>SUMIFS('📋 Data Pasien'!G153:G162,'📋 Data Pasien'!H153:H162,"Transfer Bank",'📋 Data Pasien'!F153:F162,"Ambil Obat")</f>
        <v/>
      </c>
      <c r="H38" s="176">
        <f>SUMIF('📋 Data Pasien'!F153:F162,"Ambil Obat",'📋 Data Pasien'!G153:G162)</f>
        <v/>
      </c>
      <c r="I38" s="173">
        <f>IF(E38=0,"",E38+H38)</f>
        <v/>
      </c>
    </row>
    <row r="39" ht="21.75" customHeight="1" s="314">
      <c r="A39" s="168">
        <f>IF(COUNTA('📋 Data Pasien'!C165:C181)=0,"— 05 May 2026 —","Sel 05 Mei 2026")</f>
        <v/>
      </c>
      <c r="B39" s="169">
        <f>COUNTA('📋 Data Pasien'!C165:C181)</f>
        <v/>
      </c>
      <c r="C39" s="170">
        <f>SUMIF('📋 Data Pasien'!E165:E181,"Cash",'📋 Data Pasien'!D165:D181)</f>
        <v/>
      </c>
      <c r="D39" s="171">
        <f>SUMIF('📋 Data Pasien'!E165:E181,"Transfer Bank",'📋 Data Pasien'!D165:D181)</f>
        <v/>
      </c>
      <c r="E39" s="172">
        <f>SUMIF('📋 Data Pasien'!C165:C181,"&lt;&gt;",'📋 Data Pasien'!D165:D181)</f>
        <v/>
      </c>
      <c r="F39" s="170">
        <f>SUMIFS('📋 Data Pasien'!G165:G181,'📋 Data Pasien'!H165:H181,"Cash",'📋 Data Pasien'!F165:F181,"Ambil Obat")</f>
        <v/>
      </c>
      <c r="G39" s="171">
        <f>SUMIFS('📋 Data Pasien'!G165:G181,'📋 Data Pasien'!H165:H181,"Transfer Bank",'📋 Data Pasien'!F165:F181,"Ambil Obat")</f>
        <v/>
      </c>
      <c r="H39" s="172">
        <f>SUMIF('📋 Data Pasien'!F165:F181,"Ambil Obat",'📋 Data Pasien'!G165:G181)</f>
        <v/>
      </c>
      <c r="I39" s="173">
        <f>IF(E39=0,"",E39+H39)</f>
        <v/>
      </c>
    </row>
    <row r="40" ht="21.75" customHeight="1" s="314">
      <c r="A40" s="174">
        <f>IF(COUNTA('📋 Data Pasien'!C184:C195)=0,"— 06 May 2026 —","Rab 06 Mei 2026")</f>
        <v/>
      </c>
      <c r="B40" s="175">
        <f>COUNTA('📋 Data Pasien'!C184:C195)</f>
        <v/>
      </c>
      <c r="C40" s="170">
        <f>SUMIF('📋 Data Pasien'!E184:E195,"Cash",'📋 Data Pasien'!D184:D195)</f>
        <v/>
      </c>
      <c r="D40" s="171">
        <f>SUMIF('📋 Data Pasien'!E184:E195,"Transfer Bank",'📋 Data Pasien'!D184:D195)</f>
        <v/>
      </c>
      <c r="E40" s="176">
        <f>SUMIF('📋 Data Pasien'!C184:C195,"&lt;&gt;",'📋 Data Pasien'!D184:D195)</f>
        <v/>
      </c>
      <c r="F40" s="170">
        <f>SUMIFS('📋 Data Pasien'!G184:G195,'📋 Data Pasien'!H184:H195,"Cash",'📋 Data Pasien'!F184:F195,"Ambil Obat")</f>
        <v/>
      </c>
      <c r="G40" s="171">
        <f>SUMIFS('📋 Data Pasien'!G184:G195,'📋 Data Pasien'!H184:H195,"Transfer Bank",'📋 Data Pasien'!F184:F195,"Ambil Obat")</f>
        <v/>
      </c>
      <c r="H40" s="176">
        <f>SUMIF('📋 Data Pasien'!F184:F195,"Ambil Obat",'📋 Data Pasien'!G184:G195)</f>
        <v/>
      </c>
      <c r="I40" s="173">
        <f>IF(E40=0,"",E40+H40)</f>
        <v/>
      </c>
    </row>
    <row r="41" ht="21.75" customHeight="1" s="314">
      <c r="A41" s="168">
        <f>IF(COUNTA('📋 Data Pasien'!C198:C212)=0,"— 07 May 2026 —","Kam 07 Mei 2026")</f>
        <v/>
      </c>
      <c r="B41" s="169">
        <f>COUNTA('📋 Data Pasien'!C198:C212)</f>
        <v/>
      </c>
      <c r="C41" s="170">
        <f>SUMIF('📋 Data Pasien'!E198:E212,"Cash",'📋 Data Pasien'!D198:D212)</f>
        <v/>
      </c>
      <c r="D41" s="171">
        <f>SUMIF('📋 Data Pasien'!E198:E212,"Transfer Bank",'📋 Data Pasien'!D198:D212)</f>
        <v/>
      </c>
      <c r="E41" s="172">
        <f>SUMIF('📋 Data Pasien'!C198:C212,"&lt;&gt;",'📋 Data Pasien'!D198:D212)</f>
        <v/>
      </c>
      <c r="F41" s="170">
        <f>SUMIFS('📋 Data Pasien'!G198:G212,'📋 Data Pasien'!H198:H212,"Cash",'📋 Data Pasien'!F198:F212,"Ambil Obat")</f>
        <v/>
      </c>
      <c r="G41" s="171">
        <f>SUMIFS('📋 Data Pasien'!G198:G212,'📋 Data Pasien'!H198:H212,"Transfer Bank",'📋 Data Pasien'!F198:F212,"Ambil Obat")</f>
        <v/>
      </c>
      <c r="H41" s="172">
        <f>SUMIF('📋 Data Pasien'!F198:F212,"Ambil Obat",'📋 Data Pasien'!G198:G212)</f>
        <v/>
      </c>
      <c r="I41" s="173">
        <f>IF(E41=0,"",E41+H41)</f>
        <v/>
      </c>
    </row>
    <row r="42" ht="21.75" customHeight="1" s="314">
      <c r="A42" s="174">
        <f>IF(COUNTA('📋 Data Pasien'!C215:C229)=0,"— 08 May 2026 —","Jum 08 Mei 2026")</f>
        <v/>
      </c>
      <c r="B42" s="175">
        <f>COUNTA('📋 Data Pasien'!C215:C229)</f>
        <v/>
      </c>
      <c r="C42" s="170">
        <f>SUMIF('📋 Data Pasien'!E215:E229,"Cash",'📋 Data Pasien'!D215:D229)</f>
        <v/>
      </c>
      <c r="D42" s="171">
        <f>SUMIF('📋 Data Pasien'!E215:E229,"Transfer Bank",'📋 Data Pasien'!D215:D229)</f>
        <v/>
      </c>
      <c r="E42" s="176">
        <f>SUMIF('📋 Data Pasien'!C215:C229,"&lt;&gt;",'📋 Data Pasien'!D215:D229)</f>
        <v/>
      </c>
      <c r="F42" s="170">
        <f>SUMIFS('📋 Data Pasien'!G215:G229,'📋 Data Pasien'!H215:H229,"Cash",'📋 Data Pasien'!F215:F229,"Ambil Obat")</f>
        <v/>
      </c>
      <c r="G42" s="171">
        <f>SUMIFS('📋 Data Pasien'!G215:G229,'📋 Data Pasien'!H215:H229,"Transfer Bank",'📋 Data Pasien'!F215:F229,"Ambil Obat")</f>
        <v/>
      </c>
      <c r="H42" s="176">
        <f>SUMIF('📋 Data Pasien'!F215:F229,"Ambil Obat",'📋 Data Pasien'!G215:G229)</f>
        <v/>
      </c>
      <c r="I42" s="173">
        <f>IF(E42=0,"",E42+H42)</f>
        <v/>
      </c>
    </row>
    <row r="43" ht="21.75" customHeight="1" s="314">
      <c r="A43" s="168">
        <f>IF(COUNTA('📋 Data Pasien'!C232:C243)=0,"— 09 May 2026 —","Sab 09 Mei 2026")</f>
        <v/>
      </c>
      <c r="B43" s="169">
        <f>COUNTA('📋 Data Pasien'!C232:C243)</f>
        <v/>
      </c>
      <c r="C43" s="170">
        <f>SUMIF('📋 Data Pasien'!E232:E243,"Cash",'📋 Data Pasien'!D232:D243)</f>
        <v/>
      </c>
      <c r="D43" s="171">
        <f>SUMIF('📋 Data Pasien'!E232:E243,"Transfer Bank",'📋 Data Pasien'!D232:D243)</f>
        <v/>
      </c>
      <c r="E43" s="172">
        <f>SUMIF('📋 Data Pasien'!C232:C243,"&lt;&gt;",'📋 Data Pasien'!D232:D243)</f>
        <v/>
      </c>
      <c r="F43" s="170">
        <f>SUMIFS('📋 Data Pasien'!G232:G243,'📋 Data Pasien'!H232:H243,"Cash",'📋 Data Pasien'!F232:F243,"Ambil Obat")</f>
        <v/>
      </c>
      <c r="G43" s="171">
        <f>SUMIFS('📋 Data Pasien'!G232:G243,'📋 Data Pasien'!H232:H243,"Transfer Bank",'📋 Data Pasien'!F232:F243,"Ambil Obat")</f>
        <v/>
      </c>
      <c r="H43" s="172">
        <f>SUMIF('📋 Data Pasien'!F232:F243,"Ambil Obat",'📋 Data Pasien'!G232:G243)</f>
        <v/>
      </c>
      <c r="I43" s="173">
        <f>IF(E43=0,"",E43+H43)</f>
        <v/>
      </c>
    </row>
    <row r="44" ht="21.75" customHeight="1" s="314">
      <c r="A44" s="174">
        <f>IF(COUNTA('📋 Data Pasien'!C246:C254)=0,"— 10 May 2026 —","Min 10 Mei 2026")</f>
        <v/>
      </c>
      <c r="B44" s="175">
        <f>COUNTA('📋 Data Pasien'!C246:C254)</f>
        <v/>
      </c>
      <c r="C44" s="170">
        <f>SUMIF('📋 Data Pasien'!E246:E254,"Cash",'📋 Data Pasien'!D246:D254)</f>
        <v/>
      </c>
      <c r="D44" s="171">
        <f>SUMIF('📋 Data Pasien'!E246:E254,"Transfer Bank",'📋 Data Pasien'!D246:D254)</f>
        <v/>
      </c>
      <c r="E44" s="176">
        <f>SUMIF('📋 Data Pasien'!C246:C254,"&lt;&gt;",'📋 Data Pasien'!D246:D254)</f>
        <v/>
      </c>
      <c r="F44" s="170">
        <f>SUMIFS('📋 Data Pasien'!G246:G254,'📋 Data Pasien'!H246:H254,"Cash",'📋 Data Pasien'!F246:F254,"Ambil Obat")</f>
        <v/>
      </c>
      <c r="G44" s="171">
        <f>SUMIFS('📋 Data Pasien'!G246:G254,'📋 Data Pasien'!H246:H254,"Transfer Bank",'📋 Data Pasien'!F246:F254,"Ambil Obat")</f>
        <v/>
      </c>
      <c r="H44" s="176">
        <f>SUMIF('📋 Data Pasien'!F246:F254,"Ambil Obat",'📋 Data Pasien'!G246:G254)</f>
        <v/>
      </c>
      <c r="I44" s="173">
        <f>IF(E44=0,"",E44+H44)</f>
        <v/>
      </c>
    </row>
    <row r="45" ht="21.75" customHeight="1" s="314">
      <c r="A45" s="168">
        <f>IF(COUNTA('📋 Data Pasien'!C257:C269)=0,"— 11 May 2026 —","Sen 11 Mei 2026")</f>
        <v/>
      </c>
      <c r="B45" s="169">
        <f>COUNTA('📋 Data Pasien'!C257:C269)</f>
        <v/>
      </c>
      <c r="C45" s="170">
        <f>SUMIF('📋 Data Pasien'!E257:E269,"Cash",'📋 Data Pasien'!D257:D269)</f>
        <v/>
      </c>
      <c r="D45" s="171">
        <f>SUMIF('📋 Data Pasien'!E257:E269,"Transfer Bank",'📋 Data Pasien'!D257:D269)</f>
        <v/>
      </c>
      <c r="E45" s="172">
        <f>SUMIF('📋 Data Pasien'!C257:C269,"&lt;&gt;",'📋 Data Pasien'!D257:D269)</f>
        <v/>
      </c>
      <c r="F45" s="170">
        <f>SUMIFS('📋 Data Pasien'!G257:G269,'📋 Data Pasien'!H257:H269,"Cash",'📋 Data Pasien'!F257:F269,"Ambil Obat")</f>
        <v/>
      </c>
      <c r="G45" s="171">
        <f>SUMIFS('📋 Data Pasien'!G257:G269,'📋 Data Pasien'!H257:H269,"Transfer Bank",'📋 Data Pasien'!F257:F269,"Ambil Obat")</f>
        <v/>
      </c>
      <c r="H45" s="172">
        <f>SUMIF('📋 Data Pasien'!F257:F269,"Ambil Obat",'📋 Data Pasien'!G257:G269)</f>
        <v/>
      </c>
      <c r="I45" s="173">
        <f>IF(E45=0,"",E45+H45)</f>
        <v/>
      </c>
      <c r="J45" s="25" t="n"/>
      <c r="K45" s="25" t="n"/>
    </row>
    <row r="46" ht="21.75" customHeight="1" s="314">
      <c r="A46" s="174">
        <f>IF(COUNTA('📋 Data Pasien'!C272:C275)=0,"— 12 May 2026 —","Sel 12 Mei 2026")</f>
        <v/>
      </c>
      <c r="B46" s="175">
        <f>COUNTA('📋 Data Pasien'!C272:C275)</f>
        <v/>
      </c>
      <c r="C46" s="170">
        <f>SUMIF('📋 Data Pasien'!E272:E275,"Cash",'📋 Data Pasien'!D272:D275)</f>
        <v/>
      </c>
      <c r="D46" s="171">
        <f>SUMIF('📋 Data Pasien'!E272:E275,"Transfer Bank",'📋 Data Pasien'!D272:D275)</f>
        <v/>
      </c>
      <c r="E46" s="176">
        <f>SUMIF('📋 Data Pasien'!C272:C275,"&lt;&gt;",'📋 Data Pasien'!D272:D275)</f>
        <v/>
      </c>
      <c r="F46" s="170">
        <f>SUMIFS('📋 Data Pasien'!G272:G275,'📋 Data Pasien'!H272:H275,"Cash",'📋 Data Pasien'!F272:F275,"Ambil Obat")</f>
        <v/>
      </c>
      <c r="G46" s="171">
        <f>SUMIFS('📋 Data Pasien'!G272:G275,'📋 Data Pasien'!H272:H275,"Transfer Bank",'📋 Data Pasien'!F272:F275,"Ambil Obat")</f>
        <v/>
      </c>
      <c r="H46" s="176">
        <f>SUMIF('📋 Data Pasien'!F272:F275,"Ambil Obat",'📋 Data Pasien'!G272:G275)</f>
        <v/>
      </c>
      <c r="I46" s="173">
        <f>IF(E46=0,"",E46+H46)</f>
        <v/>
      </c>
    </row>
    <row r="47" ht="21.75" customHeight="1" s="314">
      <c r="A47" s="168">
        <f>IF(COUNTA('📋 Data Pasien'!C278:C289)=0,"— 13 May 2026 —","Rab 13 Mei 2026")</f>
        <v/>
      </c>
      <c r="B47" s="169">
        <f>COUNTA('📋 Data Pasien'!C278:C289)</f>
        <v/>
      </c>
      <c r="C47" s="170">
        <f>SUMIF('📋 Data Pasien'!E278:E289,"Cash",'📋 Data Pasien'!D278:D289)</f>
        <v/>
      </c>
      <c r="D47" s="171">
        <f>SUMIF('📋 Data Pasien'!E278:E289,"Transfer Bank",'📋 Data Pasien'!D278:D289)</f>
        <v/>
      </c>
      <c r="E47" s="172">
        <f>SUMIF('📋 Data Pasien'!C278:C289,"&lt;&gt;",'📋 Data Pasien'!D278:D289)</f>
        <v/>
      </c>
      <c r="F47" s="170">
        <f>SUMIFS('📋 Data Pasien'!G278:G289,'📋 Data Pasien'!H278:H289,"Cash",'📋 Data Pasien'!F278:F289,"Ambil Obat")</f>
        <v/>
      </c>
      <c r="G47" s="171">
        <f>SUMIFS('📋 Data Pasien'!G278:G289,'📋 Data Pasien'!H278:H289,"Transfer Bank",'📋 Data Pasien'!F278:F289,"Ambil Obat")</f>
        <v/>
      </c>
      <c r="H47" s="172">
        <f>SUMIF('📋 Data Pasien'!F278:F289,"Ambil Obat",'📋 Data Pasien'!G278:G289)</f>
        <v/>
      </c>
      <c r="I47" s="173">
        <f>IF(E47=0,"",E47+H47)</f>
        <v/>
      </c>
    </row>
    <row r="48" ht="21.75" customHeight="1" s="314">
      <c r="A48" s="174">
        <f>IF(COUNTA('📋 Data Pasien'!C292:C297)=0,"— 14 May 2026 —","Kam 14 Mei 2026")</f>
        <v/>
      </c>
      <c r="B48" s="175">
        <f>COUNTA('📋 Data Pasien'!C292:C297)</f>
        <v/>
      </c>
      <c r="C48" s="170">
        <f>SUMIF('📋 Data Pasien'!E292:E297,"Cash",'📋 Data Pasien'!D292:D297)</f>
        <v/>
      </c>
      <c r="D48" s="171">
        <f>SUMIF('📋 Data Pasien'!E292:E297,"Transfer Bank",'📋 Data Pasien'!D292:D297)</f>
        <v/>
      </c>
      <c r="E48" s="176">
        <f>SUMIF('📋 Data Pasien'!C292:C297,"&lt;&gt;",'📋 Data Pasien'!D292:D297)</f>
        <v/>
      </c>
      <c r="F48" s="170">
        <f>SUMIFS('📋 Data Pasien'!G292:G297,'📋 Data Pasien'!H292:H297,"Cash",'📋 Data Pasien'!F292:F297,"Ambil Obat")</f>
        <v/>
      </c>
      <c r="G48" s="171">
        <f>SUMIFS('📋 Data Pasien'!G292:G297,'📋 Data Pasien'!H292:H297,"Transfer Bank",'📋 Data Pasien'!F292:F297,"Ambil Obat")</f>
        <v/>
      </c>
      <c r="H48" s="176">
        <f>SUMIF('📋 Data Pasien'!F292:F297,"Ambil Obat",'📋 Data Pasien'!G292:G297)</f>
        <v/>
      </c>
      <c r="I48" s="173">
        <f>IF(E48=0,"",E48+H48)</f>
        <v/>
      </c>
      <c r="J48" s="25" t="n"/>
      <c r="K48" s="25" t="n"/>
      <c r="L48" s="25" t="n"/>
    </row>
    <row r="49" ht="21.75" customHeight="1" s="314">
      <c r="A49" s="168">
        <f>IF(COUNTA('📋 Data Pasien'!C301:C315)=0,"— 15 May 2026 —","Jum 15 Mei 2026")</f>
        <v/>
      </c>
      <c r="B49" s="169">
        <f>COUNTA('📋 Data Pasien'!C301:C315)</f>
        <v/>
      </c>
      <c r="C49" s="170">
        <f>SUMIF('📋 Data Pasien'!E301:E315,"Cash",'📋 Data Pasien'!D301:D315)</f>
        <v/>
      </c>
      <c r="D49" s="171">
        <f>SUMIF('📋 Data Pasien'!E301:E315,"Transfer Bank",'📋 Data Pasien'!D301:D315)</f>
        <v/>
      </c>
      <c r="E49" s="172">
        <f>SUMIF('📋 Data Pasien'!C301:C315,"&lt;&gt;",'📋 Data Pasien'!D301:D315)</f>
        <v/>
      </c>
      <c r="F49" s="170">
        <f>SUMIFS('📋 Data Pasien'!G301:G315,'📋 Data Pasien'!H301:H315,"Cash",'📋 Data Pasien'!F301:F315,"Ambil Obat")</f>
        <v/>
      </c>
      <c r="G49" s="171">
        <f>SUMIFS('📋 Data Pasien'!G301:G315,'📋 Data Pasien'!H301:H315,"Transfer Bank",'📋 Data Pasien'!F301:F315,"Ambil Obat")</f>
        <v/>
      </c>
      <c r="H49" s="172">
        <f>SUMIF('📋 Data Pasien'!F301:F315,"Ambil Obat",'📋 Data Pasien'!G301:G315)</f>
        <v/>
      </c>
      <c r="I49" s="173">
        <f>IF(E49=0,"",E49+H49)</f>
        <v/>
      </c>
    </row>
    <row r="50" ht="21.75" customHeight="1" s="314">
      <c r="A50" s="174">
        <f>IF(COUNTA('📋 Data Pasien'!C318:C332)=0,"— 16 May 2026 —","Sab 16 Mei 2026")</f>
        <v/>
      </c>
      <c r="B50" s="175">
        <f>COUNTA('📋 Data Pasien'!C318:C332)</f>
        <v/>
      </c>
      <c r="C50" s="170">
        <f>SUMIF('📋 Data Pasien'!E318:E332,"Cash",'📋 Data Pasien'!D318:D332)</f>
        <v/>
      </c>
      <c r="D50" s="171">
        <f>SUMIF('📋 Data Pasien'!E318:E332,"Transfer Bank",'📋 Data Pasien'!D318:D332)</f>
        <v/>
      </c>
      <c r="E50" s="176">
        <f>SUMIF('📋 Data Pasien'!C318:C332,"&lt;&gt;",'📋 Data Pasien'!D318:D332)</f>
        <v/>
      </c>
      <c r="F50" s="170">
        <f>SUMIFS('📋 Data Pasien'!G318:G332,'📋 Data Pasien'!H318:H332,"Cash",'📋 Data Pasien'!F318:F332,"Ambil Obat")</f>
        <v/>
      </c>
      <c r="G50" s="171">
        <f>SUMIFS('📋 Data Pasien'!G318:G332,'📋 Data Pasien'!H318:H332,"Transfer Bank",'📋 Data Pasien'!F318:F332,"Ambil Obat")</f>
        <v/>
      </c>
      <c r="H50" s="176">
        <f>SUMIF('📋 Data Pasien'!F318:F332,"Ambil Obat",'📋 Data Pasien'!G318:G332)</f>
        <v/>
      </c>
      <c r="I50" s="173">
        <f>IF(E50=0,"",E50+H50)</f>
        <v/>
      </c>
      <c r="J50" s="25">
        <f t="array" ref="J50">SUM(C29:C47+F29:F47)</f>
        <v/>
      </c>
    </row>
    <row r="51" ht="21.75" customHeight="1" s="314">
      <c r="A51" s="168">
        <f>IF(COUNTA('📋 Data Pasien'!C335:C349)=0,"— 17 May 2026 —","Min 17 Mei 2026")</f>
        <v/>
      </c>
      <c r="B51" s="169">
        <f>COUNTA('📋 Data Pasien'!C335:C349)</f>
        <v/>
      </c>
      <c r="C51" s="170">
        <f>SUMIF('📋 Data Pasien'!E335:E349,"Cash",'📋 Data Pasien'!D335:D349)</f>
        <v/>
      </c>
      <c r="D51" s="171">
        <f>SUMIF('📋 Data Pasien'!E335:E349,"Transfer Bank",'📋 Data Pasien'!D335:D349)</f>
        <v/>
      </c>
      <c r="E51" s="172">
        <f>SUMIF('📋 Data Pasien'!C335:C349,"&lt;&gt;",'📋 Data Pasien'!D335:D349)</f>
        <v/>
      </c>
      <c r="F51" s="170">
        <f>SUMIFS('📋 Data Pasien'!G335:G349,'📋 Data Pasien'!H335:H349,"Cash",'📋 Data Pasien'!F335:F349,"Ambil Obat")</f>
        <v/>
      </c>
      <c r="G51" s="171">
        <f>SUMIFS('📋 Data Pasien'!G335:G349,'📋 Data Pasien'!H335:H349,"Transfer Bank",'📋 Data Pasien'!F335:F349,"Ambil Obat")</f>
        <v/>
      </c>
      <c r="H51" s="172">
        <f>SUMIF('📋 Data Pasien'!F335:F349,"Ambil Obat",'📋 Data Pasien'!G335:G349)</f>
        <v/>
      </c>
      <c r="I51" s="173">
        <f>IF(E51=0,"",E51+H51)</f>
        <v/>
      </c>
    </row>
    <row r="52" ht="21.75" customHeight="1" s="314">
      <c r="A52" s="174">
        <f>IF(COUNTA('📋 Data Pasien'!C352:C366)=0,"— 18 May 2026 —","Sen 18 Mei 2026")</f>
        <v/>
      </c>
      <c r="B52" s="175">
        <f>COUNTA('📋 Data Pasien'!C352:C366)</f>
        <v/>
      </c>
      <c r="C52" s="170">
        <f>SUMIF('📋 Data Pasien'!E352:E366,"Cash",'📋 Data Pasien'!D352:D366)</f>
        <v/>
      </c>
      <c r="D52" s="171">
        <f>SUMIF('📋 Data Pasien'!E352:E366,"Transfer Bank",'📋 Data Pasien'!D352:D366)</f>
        <v/>
      </c>
      <c r="E52" s="176">
        <f>SUMIF('📋 Data Pasien'!C352:C366,"&lt;&gt;",'📋 Data Pasien'!D352:D366)</f>
        <v/>
      </c>
      <c r="F52" s="170">
        <f>SUMIFS('📋 Data Pasien'!G352:G366,'📋 Data Pasien'!H352:H366,"Cash",'📋 Data Pasien'!F352:F366,"Ambil Obat")</f>
        <v/>
      </c>
      <c r="G52" s="171">
        <f>SUMIFS('📋 Data Pasien'!G352:G366,'📋 Data Pasien'!H352:H366,"Transfer Bank",'📋 Data Pasien'!F352:F366,"Ambil Obat")</f>
        <v/>
      </c>
      <c r="H52" s="176">
        <f>SUMIF('📋 Data Pasien'!F352:F366,"Ambil Obat",'📋 Data Pasien'!G352:G366)</f>
        <v/>
      </c>
      <c r="I52" s="173">
        <f>IF(E52=0,"",E52+H52)</f>
        <v/>
      </c>
    </row>
    <row r="53" ht="21.75" customHeight="1" s="314">
      <c r="A53" s="168">
        <f>IF(COUNTA('📋 Data Pasien'!C369:C383)=0,"— 19 May 2026 —","Sel 19 Mei 2026")</f>
        <v/>
      </c>
      <c r="B53" s="169">
        <f>COUNTA('📋 Data Pasien'!C369:C383)</f>
        <v/>
      </c>
      <c r="C53" s="170">
        <f>SUMIF('📋 Data Pasien'!E369:E383,"Cash",'📋 Data Pasien'!D369:D383)</f>
        <v/>
      </c>
      <c r="D53" s="171">
        <f>SUMIF('📋 Data Pasien'!E369:E383,"Transfer Bank",'📋 Data Pasien'!D369:D383)</f>
        <v/>
      </c>
      <c r="E53" s="172">
        <f>SUMIF('📋 Data Pasien'!C369:C383,"&lt;&gt;",'📋 Data Pasien'!D369:D383)</f>
        <v/>
      </c>
      <c r="F53" s="170">
        <f>SUMIFS('📋 Data Pasien'!G369:G383,'📋 Data Pasien'!H369:H383,"Cash",'📋 Data Pasien'!F369:F383,"Ambil Obat")</f>
        <v/>
      </c>
      <c r="G53" s="171">
        <f>SUMIFS('📋 Data Pasien'!G369:G383,'📋 Data Pasien'!H369:H383,"Transfer Bank",'📋 Data Pasien'!F369:F383,"Ambil Obat")</f>
        <v/>
      </c>
      <c r="H53" s="172">
        <f>SUMIF('📋 Data Pasien'!F369:F383,"Ambil Obat",'📋 Data Pasien'!G369:G383)</f>
        <v/>
      </c>
      <c r="I53" s="173">
        <f>IF(E53=0,"",E53+H53)</f>
        <v/>
      </c>
    </row>
    <row r="54" ht="21.75" customHeight="1" s="314">
      <c r="A54" s="174">
        <f>IF(COUNTA('📋 Data Pasien'!C386:C400)=0,"— 20 May 2026 —","Rab 20 Mei 2026")</f>
        <v/>
      </c>
      <c r="B54" s="175">
        <f>COUNTA('📋 Data Pasien'!C386:C400)</f>
        <v/>
      </c>
      <c r="C54" s="170">
        <f>SUMIF('📋 Data Pasien'!E386:E400,"Cash",'📋 Data Pasien'!D386:D400)</f>
        <v/>
      </c>
      <c r="D54" s="171">
        <f>SUMIF('📋 Data Pasien'!E386:E400,"Transfer Bank",'📋 Data Pasien'!D386:D400)</f>
        <v/>
      </c>
      <c r="E54" s="176">
        <f>SUMIF('📋 Data Pasien'!C386:C400,"&lt;&gt;",'📋 Data Pasien'!D386:D400)</f>
        <v/>
      </c>
      <c r="F54" s="170">
        <f>SUMIFS('📋 Data Pasien'!G386:G400,'📋 Data Pasien'!H386:H400,"Cash",'📋 Data Pasien'!F386:F400,"Ambil Obat")</f>
        <v/>
      </c>
      <c r="G54" s="171">
        <f>SUMIFS('📋 Data Pasien'!G386:G400,'📋 Data Pasien'!H386:H400,"Transfer Bank",'📋 Data Pasien'!F386:F400,"Ambil Obat")</f>
        <v/>
      </c>
      <c r="H54" s="176">
        <f>SUMIF('📋 Data Pasien'!F386:F400,"Ambil Obat",'📋 Data Pasien'!G386:G400)</f>
        <v/>
      </c>
      <c r="I54" s="173">
        <f>IF(E54=0,"",E54+H54)</f>
        <v/>
      </c>
    </row>
    <row r="55" ht="21.75" customHeight="1" s="314">
      <c r="A55" s="168">
        <f>IF(COUNTA('📋 Data Pasien'!C403:C417)=0,"— 21 May 2026 —","Kam 21 Mei 2026")</f>
        <v/>
      </c>
      <c r="B55" s="178" t="n"/>
      <c r="C55" s="170">
        <f>SUMIF('📋 Data Pasien'!E403:E417,"Cash",'📋 Data Pasien'!D403:D417)</f>
        <v/>
      </c>
      <c r="D55" s="171">
        <f>SUMIF('📋 Data Pasien'!E403:E417,"Transfer Bank",'📋 Data Pasien'!D403:D417)</f>
        <v/>
      </c>
      <c r="E55" s="172">
        <f>SUMIF('📋 Data Pasien'!C403:C417,"&lt;&gt;",'📋 Data Pasien'!D403:D417)</f>
        <v/>
      </c>
      <c r="F55" s="170">
        <f>SUMIFS('📋 Data Pasien'!G403:G417,'📋 Data Pasien'!H403:H417,"Cash",'📋 Data Pasien'!F403:F417,"Ambil Obat")</f>
        <v/>
      </c>
      <c r="G55" s="171">
        <f>SUMIFS('📋 Data Pasien'!G403:G417,'📋 Data Pasien'!H403:H417,"Transfer Bank",'📋 Data Pasien'!F403:F417,"Ambil Obat")</f>
        <v/>
      </c>
      <c r="H55" s="172">
        <f>SUMIF('📋 Data Pasien'!F403:F417,"Ambil Obat",'📋 Data Pasien'!G403:G417)</f>
        <v/>
      </c>
      <c r="I55" s="173">
        <f>IF(E55=0,"",E55+H55)</f>
        <v/>
      </c>
    </row>
    <row r="56" ht="21.75" customHeight="1" s="314">
      <c r="A56" s="174">
        <f>IF(COUNTA('📋 Data Pasien'!C420:C434)=0,"— 22 May 2026 —","Jum 22 Mei 2026")</f>
        <v/>
      </c>
      <c r="B56" s="175">
        <f>COUNTA('📋 Data Pasien'!C420:C434)</f>
        <v/>
      </c>
      <c r="C56" s="170">
        <f>SUMIF('📋 Data Pasien'!E420:E434,"Cash",'📋 Data Pasien'!D420:D434)</f>
        <v/>
      </c>
      <c r="D56" s="171">
        <f>SUMIF('📋 Data Pasien'!E420:E434,"Transfer Bank",'📋 Data Pasien'!D420:D434)</f>
        <v/>
      </c>
      <c r="E56" s="176">
        <f>SUMIF('📋 Data Pasien'!C420:C434,"&lt;&gt;",'📋 Data Pasien'!D420:D434)</f>
        <v/>
      </c>
      <c r="F56" s="170">
        <f>SUMIFS('📋 Data Pasien'!G420:G434,'📋 Data Pasien'!H420:H434,"Cash",'📋 Data Pasien'!F420:F434,"Ambil Obat")</f>
        <v/>
      </c>
      <c r="G56" s="171">
        <f>SUMIFS('📋 Data Pasien'!G420:G434,'📋 Data Pasien'!H420:H434,"Transfer Bank",'📋 Data Pasien'!F420:F434,"Ambil Obat")</f>
        <v/>
      </c>
      <c r="H56" s="176">
        <f>SUMIF('📋 Data Pasien'!F420:F434,"Ambil Obat",'📋 Data Pasien'!G420:G434)</f>
        <v/>
      </c>
      <c r="I56" s="173">
        <f>IF(E56=0,"",E56+H56)</f>
        <v/>
      </c>
    </row>
    <row r="57" ht="21.75" customHeight="1" s="314">
      <c r="A57" s="168">
        <f>IF(COUNTA('📋 Data Pasien'!C437:C451)=0,"— 23 May 2026 —","Sab 23 Mei 2026")</f>
        <v/>
      </c>
      <c r="B57" s="169">
        <f>COUNTA('📋 Data Pasien'!C437:C451)</f>
        <v/>
      </c>
      <c r="C57" s="170">
        <f>SUMIF('📋 Data Pasien'!E437:E451,"Cash",'📋 Data Pasien'!D437:D451)</f>
        <v/>
      </c>
      <c r="D57" s="171">
        <f>SUMIF('📋 Data Pasien'!E437:E451,"Transfer Bank",'📋 Data Pasien'!D437:D451)</f>
        <v/>
      </c>
      <c r="E57" s="172">
        <f>SUMIF('📋 Data Pasien'!C437:C451,"&lt;&gt;",'📋 Data Pasien'!D437:D451)</f>
        <v/>
      </c>
      <c r="F57" s="170">
        <f>SUMIFS('📋 Data Pasien'!G437:G451,'📋 Data Pasien'!H437:H451,"Cash",'📋 Data Pasien'!F437:F451,"Ambil Obat")</f>
        <v/>
      </c>
      <c r="G57" s="171">
        <f>SUMIFS('📋 Data Pasien'!G437:G451,'📋 Data Pasien'!H437:H451,"Transfer Bank",'📋 Data Pasien'!F437:F451,"Ambil Obat")</f>
        <v/>
      </c>
      <c r="H57" s="172">
        <f>SUMIF('📋 Data Pasien'!F437:F451,"Ambil Obat",'📋 Data Pasien'!G437:G451)</f>
        <v/>
      </c>
      <c r="I57" s="173">
        <f>IF(E57=0,"",E57+H57)</f>
        <v/>
      </c>
    </row>
    <row r="58" ht="21.75" customHeight="1" s="314">
      <c r="A58" s="174">
        <f>IF(COUNTA('📋 Data Pasien'!C454:C468)=0,"— 24 May 2026 —","Min 24 Mei 2026")</f>
        <v/>
      </c>
      <c r="B58" s="175">
        <f>COUNTA('📋 Data Pasien'!C454:C468)</f>
        <v/>
      </c>
      <c r="C58" s="170">
        <f>SUMIF('📋 Data Pasien'!E454:E468,"Cash",'📋 Data Pasien'!D454:D468)</f>
        <v/>
      </c>
      <c r="D58" s="171">
        <f>SUMIF('📋 Data Pasien'!E454:E468,"Transfer Bank",'📋 Data Pasien'!D454:D468)</f>
        <v/>
      </c>
      <c r="E58" s="176">
        <f>SUMIF('📋 Data Pasien'!C454:C468,"&lt;&gt;",'📋 Data Pasien'!D454:D468)</f>
        <v/>
      </c>
      <c r="F58" s="170">
        <f>SUMIFS('📋 Data Pasien'!G454:G468,'📋 Data Pasien'!H454:H468,"Cash",'📋 Data Pasien'!F454:F468,"Ambil Obat")</f>
        <v/>
      </c>
      <c r="G58" s="171">
        <f>SUMIFS('📋 Data Pasien'!G454:G468,'📋 Data Pasien'!H454:H468,"Transfer Bank",'📋 Data Pasien'!F454:F468,"Ambil Obat")</f>
        <v/>
      </c>
      <c r="H58" s="176">
        <f>SUMIF('📋 Data Pasien'!F454:F468,"Ambil Obat",'📋 Data Pasien'!G454:G468)</f>
        <v/>
      </c>
      <c r="I58" s="173">
        <f>IF(E58=0,"",E58+H58)</f>
        <v/>
      </c>
    </row>
    <row r="59" ht="21.75" customHeight="1" s="314">
      <c r="A59" s="168">
        <f>IF(COUNTA('📋 Data Pasien'!C471:C485)=0,"— 25 May 2026 —","Sen 25 Mei 2026")</f>
        <v/>
      </c>
      <c r="B59" s="169">
        <f>COUNTA('📋 Data Pasien'!C471:C485)</f>
        <v/>
      </c>
      <c r="C59" s="170">
        <f>SUMIF('📋 Data Pasien'!E471:E485,"Cash",'📋 Data Pasien'!D471:D485)</f>
        <v/>
      </c>
      <c r="D59" s="171">
        <f>SUMIF('📋 Data Pasien'!E471:E485,"Transfer Bank",'📋 Data Pasien'!D471:D485)</f>
        <v/>
      </c>
      <c r="E59" s="172">
        <f>SUMIF('📋 Data Pasien'!C471:C485,"&lt;&gt;",'📋 Data Pasien'!D471:D485)</f>
        <v/>
      </c>
      <c r="F59" s="170">
        <f>SUMIFS('📋 Data Pasien'!G471:G485,'📋 Data Pasien'!H471:H485,"Cash",'📋 Data Pasien'!F471:F485,"Ambil Obat")</f>
        <v/>
      </c>
      <c r="G59" s="171">
        <f>SUMIFS('📋 Data Pasien'!G471:G485,'📋 Data Pasien'!H471:H485,"Transfer Bank",'📋 Data Pasien'!F471:F485,"Ambil Obat")</f>
        <v/>
      </c>
      <c r="H59" s="172">
        <f>SUMIF('📋 Data Pasien'!F471:F485,"Ambil Obat",'📋 Data Pasien'!G471:G485)</f>
        <v/>
      </c>
      <c r="I59" s="173">
        <f>IF(E59=0,"",E59+H59)</f>
        <v/>
      </c>
    </row>
    <row r="60" ht="21.75" customHeight="1" s="314">
      <c r="A60" s="174">
        <f>IF(COUNTA('📋 Data Pasien'!C488:C502)=0,"— 26 May 2026 —","Sel 26 Mei 2026")</f>
        <v/>
      </c>
      <c r="B60" s="175">
        <f>COUNTA('📋 Data Pasien'!C488:C502)</f>
        <v/>
      </c>
      <c r="C60" s="170">
        <f>SUMIF('📋 Data Pasien'!E488:E502,"Cash",'📋 Data Pasien'!D488:D502)</f>
        <v/>
      </c>
      <c r="D60" s="171">
        <f>SUMIF('📋 Data Pasien'!E488:E502,"Transfer Bank",'📋 Data Pasien'!D488:D502)</f>
        <v/>
      </c>
      <c r="E60" s="176">
        <f>SUMIF('📋 Data Pasien'!C488:C502,"&lt;&gt;",'📋 Data Pasien'!D488:D502)</f>
        <v/>
      </c>
      <c r="F60" s="170">
        <f>SUMIFS('📋 Data Pasien'!G488:G502,'📋 Data Pasien'!H488:H502,"Cash",'📋 Data Pasien'!F488:F502,"Ambil Obat")</f>
        <v/>
      </c>
      <c r="G60" s="171">
        <f>SUMIFS('📋 Data Pasien'!G488:G502,'📋 Data Pasien'!H488:H502,"Transfer Bank",'📋 Data Pasien'!F488:F502,"Ambil Obat")</f>
        <v/>
      </c>
      <c r="H60" s="176">
        <f>SUMIF('📋 Data Pasien'!F488:F502,"Ambil Obat",'📋 Data Pasien'!G488:G502)</f>
        <v/>
      </c>
      <c r="I60" s="173">
        <f>IF(E60=0,"",E60+H60)</f>
        <v/>
      </c>
    </row>
    <row r="61" ht="21.75" customHeight="1" s="314">
      <c r="A61" s="168">
        <f>IF(COUNTA('📋 Data Pasien'!C505:C519)=0,"— 27 May 2026 —","Rab 27 Mei 2026")</f>
        <v/>
      </c>
      <c r="B61" s="169">
        <f>COUNTA('📋 Data Pasien'!C505:C519)</f>
        <v/>
      </c>
      <c r="C61" s="170">
        <f>SUMIF('📋 Data Pasien'!E505:E519,"Cash",'📋 Data Pasien'!D505:D519)</f>
        <v/>
      </c>
      <c r="D61" s="171">
        <f>SUMIF('📋 Data Pasien'!E505:E519,"Transfer Bank",'📋 Data Pasien'!D505:D519)</f>
        <v/>
      </c>
      <c r="E61" s="172">
        <f>SUMIF('📋 Data Pasien'!C505:C519,"&lt;&gt;",'📋 Data Pasien'!D505:D519)</f>
        <v/>
      </c>
      <c r="F61" s="170">
        <f>SUMIFS('📋 Data Pasien'!G505:G519,'📋 Data Pasien'!H505:H519,"Cash",'📋 Data Pasien'!F505:F519,"Ambil Obat")</f>
        <v/>
      </c>
      <c r="G61" s="171">
        <f>SUMIFS('📋 Data Pasien'!G505:G519,'📋 Data Pasien'!H505:H519,"Transfer Bank",'📋 Data Pasien'!F505:F519,"Ambil Obat")</f>
        <v/>
      </c>
      <c r="H61" s="172">
        <f>SUMIF('📋 Data Pasien'!F505:F519,"Ambil Obat",'📋 Data Pasien'!G505:G519)</f>
        <v/>
      </c>
      <c r="I61" s="173">
        <f>IF(E61=0,"",E61+H61)</f>
        <v/>
      </c>
    </row>
    <row r="62" ht="21.75" customHeight="1" s="314">
      <c r="A62" s="174">
        <f>IF(COUNTA('📋 Data Pasien'!C522:C536)=0,"— 28 May 2026 —","Kam 28 Mei 2026")</f>
        <v/>
      </c>
      <c r="B62" s="175">
        <f>COUNTA('📋 Data Pasien'!C522:C536)</f>
        <v/>
      </c>
      <c r="C62" s="170">
        <f>SUMIF('📋 Data Pasien'!E522:E536,"Cash",'📋 Data Pasien'!D522:D536)</f>
        <v/>
      </c>
      <c r="D62" s="171">
        <f>SUMIF('📋 Data Pasien'!E522:E536,"Transfer Bank",'📋 Data Pasien'!D522:D536)</f>
        <v/>
      </c>
      <c r="E62" s="176">
        <f>SUMIF('📋 Data Pasien'!C522:C536,"&lt;&gt;",'📋 Data Pasien'!D522:D536)</f>
        <v/>
      </c>
      <c r="F62" s="170">
        <f>SUMIFS('📋 Data Pasien'!G522:G536,'📋 Data Pasien'!H522:H536,"Cash",'📋 Data Pasien'!F522:F536,"Ambil Obat")</f>
        <v/>
      </c>
      <c r="G62" s="171">
        <f>SUMIFS('📋 Data Pasien'!G522:G536,'📋 Data Pasien'!H522:H536,"Transfer Bank",'📋 Data Pasien'!F522:F536,"Ambil Obat")</f>
        <v/>
      </c>
      <c r="H62" s="176">
        <f>SUMIF('📋 Data Pasien'!F522:F536,"Ambil Obat",'📋 Data Pasien'!G522:G536)</f>
        <v/>
      </c>
      <c r="I62" s="173">
        <f>IF(E62=0,"",E62+H62)</f>
        <v/>
      </c>
    </row>
    <row r="63" ht="21.75" customHeight="1" s="314">
      <c r="A63" s="168">
        <f>IF(COUNTA('📋 Data Pasien'!C539:C553)=0,"— 29 May 2026 —","Jum 29 Mei 2026")</f>
        <v/>
      </c>
      <c r="B63" s="169">
        <f>COUNTA('📋 Data Pasien'!C539:C553)</f>
        <v/>
      </c>
      <c r="C63" s="170">
        <f>SUMIF('📋 Data Pasien'!E539:E553,"Cash",'📋 Data Pasien'!D539:D553)</f>
        <v/>
      </c>
      <c r="D63" s="171">
        <f>SUMIF('📋 Data Pasien'!E539:E553,"Transfer Bank",'📋 Data Pasien'!D539:D553)</f>
        <v/>
      </c>
      <c r="E63" s="172">
        <f>SUMIF('📋 Data Pasien'!C539:C553,"&lt;&gt;",'📋 Data Pasien'!D539:D553)</f>
        <v/>
      </c>
      <c r="F63" s="170">
        <f>SUMIFS('📋 Data Pasien'!G539:G553,'📋 Data Pasien'!H539:H553,"Cash",'📋 Data Pasien'!F539:F553,"Ambil Obat")</f>
        <v/>
      </c>
      <c r="G63" s="171">
        <f>SUMIFS('📋 Data Pasien'!G539:G553,'📋 Data Pasien'!H539:H553,"Transfer Bank",'📋 Data Pasien'!F539:F553,"Ambil Obat")</f>
        <v/>
      </c>
      <c r="H63" s="172">
        <f>SUMIF('📋 Data Pasien'!F539:F553,"Ambil Obat",'📋 Data Pasien'!G539:G553)</f>
        <v/>
      </c>
      <c r="I63" s="173">
        <f>IF(E63=0,"",E63+H63)</f>
        <v/>
      </c>
    </row>
    <row r="64" ht="21.75" customHeight="1" s="314">
      <c r="A64" s="174">
        <f>IF(COUNTA('📋 Data Pasien'!C556:C570)=0,"— 30 May 2026 —","Sab 30 Mei 2026")</f>
        <v/>
      </c>
      <c r="B64" s="175">
        <f>COUNTA('📋 Data Pasien'!C556:C570)</f>
        <v/>
      </c>
      <c r="C64" s="170">
        <f>SUMIF('📋 Data Pasien'!E556:E570,"Cash",'📋 Data Pasien'!D556:D570)</f>
        <v/>
      </c>
      <c r="D64" s="171">
        <f>SUMIF('📋 Data Pasien'!E556:E570,"Transfer Bank",'📋 Data Pasien'!D556:D570)</f>
        <v/>
      </c>
      <c r="E64" s="176">
        <f>SUMIF('📋 Data Pasien'!C556:C570,"&lt;&gt;",'📋 Data Pasien'!D556:D570)</f>
        <v/>
      </c>
      <c r="F64" s="170">
        <f>SUMIFS('📋 Data Pasien'!G556:G570,'📋 Data Pasien'!H556:H570,"Cash",'📋 Data Pasien'!F556:F570,"Ambil Obat")</f>
        <v/>
      </c>
      <c r="G64" s="171">
        <f>SUMIFS('📋 Data Pasien'!G556:G570,'📋 Data Pasien'!H556:H570,"Transfer Bank",'📋 Data Pasien'!F556:F570,"Ambil Obat")</f>
        <v/>
      </c>
      <c r="H64" s="176">
        <f>SUMIF('📋 Data Pasien'!F556:F570,"Ambil Obat",'📋 Data Pasien'!G556:G570)</f>
        <v/>
      </c>
      <c r="I64" s="173">
        <f>IF(E64=0,"",E64+H64)</f>
        <v/>
      </c>
    </row>
    <row r="65" ht="21.75" customHeight="1" s="314">
      <c r="A65" s="168">
        <f>IF(COUNTA('📋 Data Pasien'!C573:C587)=0,"— 31 May 2026 —","Min 31 Mei 2026")</f>
        <v/>
      </c>
      <c r="B65" s="169">
        <f>COUNTA('📋 Data Pasien'!C573:C587)</f>
        <v/>
      </c>
      <c r="C65" s="170">
        <f>SUMIF('📋 Data Pasien'!E573:E587,"Cash",'📋 Data Pasien'!D573:D587)</f>
        <v/>
      </c>
      <c r="D65" s="171">
        <f>SUMIF('📋 Data Pasien'!E573:E587,"Transfer Bank",'📋 Data Pasien'!D573:D587)</f>
        <v/>
      </c>
      <c r="E65" s="172">
        <f>SUMIF('📋 Data Pasien'!C573:C587,"&lt;&gt;",'📋 Data Pasien'!D573:D587)</f>
        <v/>
      </c>
      <c r="F65" s="170">
        <f>SUMIFS('📋 Data Pasien'!G573:G587,'📋 Data Pasien'!H573:H587,"Cash",'📋 Data Pasien'!F573:F587,"Ambil Obat")</f>
        <v/>
      </c>
      <c r="G65" s="171">
        <f>SUMIFS('📋 Data Pasien'!G573:G587,'📋 Data Pasien'!H573:H587,"Transfer Bank",'📋 Data Pasien'!F573:F587,"Ambil Obat")</f>
        <v/>
      </c>
      <c r="H65" s="172">
        <f>SUMIF('📋 Data Pasien'!F573:F587,"Ambil Obat",'📋 Data Pasien'!G573:G587)</f>
        <v/>
      </c>
      <c r="I65" s="173">
        <f>IF(E65=0,"",E65+H65)</f>
        <v/>
      </c>
    </row>
    <row r="66" ht="21.75" customHeight="1" s="314">
      <c r="A66" s="174">
        <f>IF(COUNTA('📋 Data Pasien'!C590:C604)=0,"— 01 Jun 2026 —","Sen 01 Jun 2026")</f>
        <v/>
      </c>
      <c r="B66" s="175">
        <f>COUNTA('📋 Data Pasien'!C590:C604)</f>
        <v/>
      </c>
      <c r="C66" s="170">
        <f>SUMIF('📋 Data Pasien'!E590:E604,"Cash",'📋 Data Pasien'!D590:D604)</f>
        <v/>
      </c>
      <c r="D66" s="171">
        <f>SUMIF('📋 Data Pasien'!E590:E604,"Transfer Bank",'📋 Data Pasien'!D590:D604)</f>
        <v/>
      </c>
      <c r="E66" s="176">
        <f>SUMIF('📋 Data Pasien'!C590:C604,"&lt;&gt;",'📋 Data Pasien'!D590:D604)</f>
        <v/>
      </c>
      <c r="F66" s="170">
        <f>SUMIFS('📋 Data Pasien'!G590:G604,'📋 Data Pasien'!H590:H604,"Cash",'📋 Data Pasien'!F590:F604,"Ambil Obat")</f>
        <v/>
      </c>
      <c r="G66" s="171">
        <f>SUMIFS('📋 Data Pasien'!G590:G604,'📋 Data Pasien'!H590:H604,"Transfer Bank",'📋 Data Pasien'!F590:F604,"Ambil Obat")</f>
        <v/>
      </c>
      <c r="H66" s="176">
        <f>SUMIF('📋 Data Pasien'!F590:F604,"Ambil Obat",'📋 Data Pasien'!G590:G604)</f>
        <v/>
      </c>
      <c r="I66" s="173">
        <f>IF(E66=0,"",E66+H66)</f>
        <v/>
      </c>
    </row>
    <row r="67" ht="21.75" customHeight="1" s="314">
      <c r="A67" s="168">
        <f>IF(COUNTA('📋 Data Pasien'!C607:C621)=0,"— 02 Jun 2026 —","Sel 02 Jun 2026")</f>
        <v/>
      </c>
      <c r="B67" s="169">
        <f>COUNTA('📋 Data Pasien'!C607:C621)</f>
        <v/>
      </c>
      <c r="C67" s="170">
        <f>SUMIF('📋 Data Pasien'!E607:E621,"Cash",'📋 Data Pasien'!D607:D621)</f>
        <v/>
      </c>
      <c r="D67" s="171">
        <f>SUMIF('📋 Data Pasien'!E607:E621,"Transfer Bank",'📋 Data Pasien'!D607:D621)</f>
        <v/>
      </c>
      <c r="E67" s="172">
        <f>SUMIF('📋 Data Pasien'!C607:C621,"&lt;&gt;",'📋 Data Pasien'!D607:D621)</f>
        <v/>
      </c>
      <c r="F67" s="170">
        <f>SUMIFS('📋 Data Pasien'!G607:G621,'📋 Data Pasien'!H607:H621,"Cash",'📋 Data Pasien'!F607:F621,"Ambil Obat")</f>
        <v/>
      </c>
      <c r="G67" s="171">
        <f>SUMIFS('📋 Data Pasien'!G607:G621,'📋 Data Pasien'!H607:H621,"Transfer Bank",'📋 Data Pasien'!F607:F621,"Ambil Obat")</f>
        <v/>
      </c>
      <c r="H67" s="172">
        <f>SUMIF('📋 Data Pasien'!F607:F621,"Ambil Obat",'📋 Data Pasien'!G607:G621)</f>
        <v/>
      </c>
      <c r="I67" s="173">
        <f>IF(E67=0,"",E67+H67)</f>
        <v/>
      </c>
    </row>
    <row r="68" ht="21.75" customHeight="1" s="314">
      <c r="A68" s="174">
        <f>IF(COUNTA('📋 Data Pasien'!C624:C638)=0,"— 03 Jun 2026 —","Rab 03 Jun 2026")</f>
        <v/>
      </c>
      <c r="B68" s="175">
        <f>COUNTA('📋 Data Pasien'!C624:C638)</f>
        <v/>
      </c>
      <c r="C68" s="170">
        <f>SUMIF('📋 Data Pasien'!E624:E638,"Cash",'📋 Data Pasien'!D624:D638)</f>
        <v/>
      </c>
      <c r="D68" s="171">
        <f>SUMIF('📋 Data Pasien'!E624:E638,"Transfer Bank",'📋 Data Pasien'!D624:D638)</f>
        <v/>
      </c>
      <c r="E68" s="176">
        <f>SUMIF('📋 Data Pasien'!C624:C638,"&lt;&gt;",'📋 Data Pasien'!D624:D638)</f>
        <v/>
      </c>
      <c r="F68" s="170">
        <f>SUMIFS('📋 Data Pasien'!G624:G638,'📋 Data Pasien'!H624:H638,"Cash",'📋 Data Pasien'!F624:F638,"Ambil Obat")</f>
        <v/>
      </c>
      <c r="G68" s="171">
        <f>SUMIFS('📋 Data Pasien'!G624:G638,'📋 Data Pasien'!H624:H638,"Transfer Bank",'📋 Data Pasien'!F624:F638,"Ambil Obat")</f>
        <v/>
      </c>
      <c r="H68" s="176">
        <f>SUMIF('📋 Data Pasien'!F624:F638,"Ambil Obat",'📋 Data Pasien'!G624:G638)</f>
        <v/>
      </c>
      <c r="I68" s="173">
        <f>IF(E68=0,"",E68+H68)</f>
        <v/>
      </c>
    </row>
    <row r="69" ht="21.75" customHeight="1" s="314">
      <c r="A69" s="168">
        <f>IF(COUNTA('📋 Data Pasien'!C641:C655)=0,"— 04 Jun 2026 —","Kam 04 Jun 2026")</f>
        <v/>
      </c>
      <c r="B69" s="169">
        <f>COUNTA('📋 Data Pasien'!C641:C655)</f>
        <v/>
      </c>
      <c r="C69" s="170">
        <f>SUMIF('📋 Data Pasien'!E641:E655,"Cash",'📋 Data Pasien'!D641:D655)</f>
        <v/>
      </c>
      <c r="D69" s="171">
        <f>SUMIF('📋 Data Pasien'!E641:E655,"Transfer Bank",'📋 Data Pasien'!D641:D655)</f>
        <v/>
      </c>
      <c r="E69" s="172">
        <f>SUMIF('📋 Data Pasien'!C641:C655,"&lt;&gt;",'📋 Data Pasien'!D641:D655)</f>
        <v/>
      </c>
      <c r="F69" s="170">
        <f>SUMIFS('📋 Data Pasien'!G641:G655,'📋 Data Pasien'!H641:H655,"Cash",'📋 Data Pasien'!F641:F655,"Ambil Obat")</f>
        <v/>
      </c>
      <c r="G69" s="171">
        <f>SUMIFS('📋 Data Pasien'!G641:G655,'📋 Data Pasien'!H641:H655,"Transfer Bank",'📋 Data Pasien'!F641:F655,"Ambil Obat")</f>
        <v/>
      </c>
      <c r="H69" s="172">
        <f>SUMIF('📋 Data Pasien'!F641:F655,"Ambil Obat",'📋 Data Pasien'!G641:G655)</f>
        <v/>
      </c>
      <c r="I69" s="173">
        <f>IF(E69=0,"",E69+H69)</f>
        <v/>
      </c>
    </row>
    <row r="70" ht="21.75" customHeight="1" s="314">
      <c r="A70" s="174">
        <f>IF(COUNTA('📋 Data Pasien'!C658:C672)=0,"— 05 Jun 2026 —","Jum 05 Jun 2026")</f>
        <v/>
      </c>
      <c r="B70" s="175">
        <f>COUNTA('📋 Data Pasien'!C658:C672)</f>
        <v/>
      </c>
      <c r="C70" s="170">
        <f>SUMIF('📋 Data Pasien'!E658:E672,"Cash",'📋 Data Pasien'!D658:D672)</f>
        <v/>
      </c>
      <c r="D70" s="171">
        <f>SUMIF('📋 Data Pasien'!E658:E672,"Transfer Bank",'📋 Data Pasien'!D658:D672)</f>
        <v/>
      </c>
      <c r="E70" s="176">
        <f>SUMIF('📋 Data Pasien'!C658:C672,"&lt;&gt;",'📋 Data Pasien'!D658:D672)</f>
        <v/>
      </c>
      <c r="F70" s="170">
        <f>SUMIFS('📋 Data Pasien'!G658:G672,'📋 Data Pasien'!H658:H672,"Cash",'📋 Data Pasien'!F658:F672,"Ambil Obat")</f>
        <v/>
      </c>
      <c r="G70" s="171">
        <f>SUMIFS('📋 Data Pasien'!G658:G672,'📋 Data Pasien'!H658:H672,"Transfer Bank",'📋 Data Pasien'!F658:F672,"Ambil Obat")</f>
        <v/>
      </c>
      <c r="H70" s="176">
        <f>SUMIF('📋 Data Pasien'!F658:F672,"Ambil Obat",'📋 Data Pasien'!G658:G672)</f>
        <v/>
      </c>
      <c r="I70" s="173">
        <f>IF(E70=0,"",E70+H70)</f>
        <v/>
      </c>
    </row>
    <row r="71" ht="21.75" customHeight="1" s="314">
      <c r="A71" s="168">
        <f>IF(COUNTA('📋 Data Pasien'!C675:C689)=0,"— 06 Jun 2026 —","Sab 06 Jun 2026")</f>
        <v/>
      </c>
      <c r="B71" s="169">
        <f>COUNTA('📋 Data Pasien'!C675:C689)</f>
        <v/>
      </c>
      <c r="C71" s="170">
        <f>SUMIF('📋 Data Pasien'!E675:E689,"Cash",'📋 Data Pasien'!D675:D689)</f>
        <v/>
      </c>
      <c r="D71" s="171">
        <f>SUMIF('📋 Data Pasien'!E675:E689,"Transfer Bank",'📋 Data Pasien'!D675:D689)</f>
        <v/>
      </c>
      <c r="E71" s="172">
        <f>SUMIF('📋 Data Pasien'!C675:C689,"&lt;&gt;",'📋 Data Pasien'!D675:D689)</f>
        <v/>
      </c>
      <c r="F71" s="170">
        <f>SUMIFS('📋 Data Pasien'!G675:G689,'📋 Data Pasien'!H675:H689,"Cash",'📋 Data Pasien'!F675:F689,"Ambil Obat")</f>
        <v/>
      </c>
      <c r="G71" s="171">
        <f>SUMIFS('📋 Data Pasien'!G675:G689,'📋 Data Pasien'!H675:H689,"Transfer Bank",'📋 Data Pasien'!F675:F689,"Ambil Obat")</f>
        <v/>
      </c>
      <c r="H71" s="172">
        <f>SUMIF('📋 Data Pasien'!F675:F689,"Ambil Obat",'📋 Data Pasien'!G675:G689)</f>
        <v/>
      </c>
      <c r="I71" s="173">
        <f>IF(E71=0,"",E71+H71)</f>
        <v/>
      </c>
    </row>
    <row r="72" ht="21.75" customHeight="1" s="314">
      <c r="A72" s="174">
        <f>IF(COUNTA('📋 Data Pasien'!C692:C706)=0,"— 07 Jun 2026 —","Min 07 Jun 2026")</f>
        <v/>
      </c>
      <c r="B72" s="175">
        <f>COUNTA('📋 Data Pasien'!C692:C706)</f>
        <v/>
      </c>
      <c r="C72" s="170">
        <f>SUMIF('📋 Data Pasien'!E692:E706,"Cash",'📋 Data Pasien'!D692:D706)</f>
        <v/>
      </c>
      <c r="D72" s="171">
        <f>SUMIF('📋 Data Pasien'!E692:E706,"Transfer Bank",'📋 Data Pasien'!D692:D706)</f>
        <v/>
      </c>
      <c r="E72" s="176">
        <f>SUMIF('📋 Data Pasien'!C692:C706,"&lt;&gt;",'📋 Data Pasien'!D692:D706)</f>
        <v/>
      </c>
      <c r="F72" s="170">
        <f>SUMIFS('📋 Data Pasien'!G692:G706,'📋 Data Pasien'!H692:H706,"Cash",'📋 Data Pasien'!F692:F706,"Ambil Obat")</f>
        <v/>
      </c>
      <c r="G72" s="171">
        <f>SUMIFS('📋 Data Pasien'!G692:G706,'📋 Data Pasien'!H692:H706,"Transfer Bank",'📋 Data Pasien'!F692:F706,"Ambil Obat")</f>
        <v/>
      </c>
      <c r="H72" s="176">
        <f>SUMIF('📋 Data Pasien'!F692:F706,"Ambil Obat",'📋 Data Pasien'!G692:G706)</f>
        <v/>
      </c>
      <c r="I72" s="173">
        <f>IF(E72=0,"",E72+H72)</f>
        <v/>
      </c>
    </row>
    <row r="73" ht="21.75" customHeight="1" s="314">
      <c r="A73" s="168">
        <f>IF(COUNTA('📋 Data Pasien'!C709:C723)=0,"— 08 Jun 2026 —","Sen 08 Jun 2026")</f>
        <v/>
      </c>
      <c r="B73" s="169">
        <f>COUNTA('📋 Data Pasien'!C709:C723)</f>
        <v/>
      </c>
      <c r="C73" s="170">
        <f>SUMIF('📋 Data Pasien'!E709:E723,"Cash",'📋 Data Pasien'!D709:D723)</f>
        <v/>
      </c>
      <c r="D73" s="171">
        <f>SUMIF('📋 Data Pasien'!E709:E723,"Transfer Bank",'📋 Data Pasien'!D709:D723)</f>
        <v/>
      </c>
      <c r="E73" s="172">
        <f>SUMIF('📋 Data Pasien'!C709:C723,"&lt;&gt;",'📋 Data Pasien'!D709:D723)</f>
        <v/>
      </c>
      <c r="F73" s="170">
        <f>SUMIFS('📋 Data Pasien'!G709:G723,'📋 Data Pasien'!H709:H723,"Cash",'📋 Data Pasien'!F709:F723,"Ambil Obat")</f>
        <v/>
      </c>
      <c r="G73" s="171">
        <f>SUMIFS('📋 Data Pasien'!G709:G723,'📋 Data Pasien'!H709:H723,"Transfer Bank",'📋 Data Pasien'!F709:F723,"Ambil Obat")</f>
        <v/>
      </c>
      <c r="H73" s="172">
        <f>SUMIF('📋 Data Pasien'!F709:F723,"Ambil Obat",'📋 Data Pasien'!G709:G723)</f>
        <v/>
      </c>
      <c r="I73" s="173">
        <f>IF(E73=0,"",E73+H73)</f>
        <v/>
      </c>
    </row>
    <row r="74" ht="21.75" customHeight="1" s="314">
      <c r="A74" s="174">
        <f>IF(COUNTA('📋 Data Pasien'!C726:C740)=0,"— 09 Jun 2026 —","Sel 09 Jun 2026")</f>
        <v/>
      </c>
      <c r="B74" s="175">
        <f>COUNTA('📋 Data Pasien'!C726:C740)</f>
        <v/>
      </c>
      <c r="C74" s="170">
        <f>SUMIF('📋 Data Pasien'!E726:E740,"Cash",'📋 Data Pasien'!D726:D740)</f>
        <v/>
      </c>
      <c r="D74" s="171">
        <f>SUMIF('📋 Data Pasien'!E726:E740,"Transfer Bank",'📋 Data Pasien'!D726:D740)</f>
        <v/>
      </c>
      <c r="E74" s="176">
        <f>SUMIF('📋 Data Pasien'!C726:C740,"&lt;&gt;",'📋 Data Pasien'!D726:D740)</f>
        <v/>
      </c>
      <c r="F74" s="170">
        <f>SUMIFS('📋 Data Pasien'!G726:G740,'📋 Data Pasien'!H726:H740,"Cash",'📋 Data Pasien'!F726:F740,"Ambil Obat")</f>
        <v/>
      </c>
      <c r="G74" s="171">
        <f>SUMIFS('📋 Data Pasien'!G726:G740,'📋 Data Pasien'!H726:H740,"Transfer Bank",'📋 Data Pasien'!F726:F740,"Ambil Obat")</f>
        <v/>
      </c>
      <c r="H74" s="176">
        <f>SUMIF('📋 Data Pasien'!F726:F740,"Ambil Obat",'📋 Data Pasien'!G726:G740)</f>
        <v/>
      </c>
      <c r="I74" s="173">
        <f>IF(E74=0,"",E74+H74)</f>
        <v/>
      </c>
    </row>
    <row r="75" ht="21.75" customHeight="1" s="314">
      <c r="A75" s="168">
        <f>IF(COUNTA('📋 Data Pasien'!C743:C757)=0,"— 10 Jun 2026 —","Rab 10 Jun 2026")</f>
        <v/>
      </c>
      <c r="B75" s="169">
        <f>COUNTA('📋 Data Pasien'!C743:C757)</f>
        <v/>
      </c>
      <c r="C75" s="170">
        <f>SUMIF('📋 Data Pasien'!E743:E757,"Cash",'📋 Data Pasien'!D743:D757)</f>
        <v/>
      </c>
      <c r="D75" s="171">
        <f>SUMIF('📋 Data Pasien'!E743:E757,"Transfer Bank",'📋 Data Pasien'!D743:D757)</f>
        <v/>
      </c>
      <c r="E75" s="172">
        <f>SUMIF('📋 Data Pasien'!C743:C757,"&lt;&gt;",'📋 Data Pasien'!D743:D757)</f>
        <v/>
      </c>
      <c r="F75" s="170">
        <f>SUMIFS('📋 Data Pasien'!G743:G757,'📋 Data Pasien'!H743:H757,"Cash",'📋 Data Pasien'!F743:F757,"Ambil Obat")</f>
        <v/>
      </c>
      <c r="G75" s="171">
        <f>SUMIFS('📋 Data Pasien'!G743:G757,'📋 Data Pasien'!H743:H757,"Transfer Bank",'📋 Data Pasien'!F743:F757,"Ambil Obat")</f>
        <v/>
      </c>
      <c r="H75" s="172">
        <f>SUMIF('📋 Data Pasien'!F743:F757,"Ambil Obat",'📋 Data Pasien'!G743:G757)</f>
        <v/>
      </c>
      <c r="I75" s="173">
        <f>IF(E75=0,"",E75+H75)</f>
        <v/>
      </c>
    </row>
    <row r="76" ht="21.75" customHeight="1" s="314">
      <c r="A76" s="174">
        <f>IF(COUNTA('📋 Data Pasien'!C760:C774)=0,"— 11 Jun 2026 —","Kam 11 Jun 2026")</f>
        <v/>
      </c>
      <c r="B76" s="175">
        <f>COUNTA('📋 Data Pasien'!C760:C774)</f>
        <v/>
      </c>
      <c r="C76" s="170">
        <f>SUMIF('📋 Data Pasien'!E760:E774,"Cash",'📋 Data Pasien'!D760:D774)</f>
        <v/>
      </c>
      <c r="D76" s="171">
        <f>SUMIF('📋 Data Pasien'!E760:E774,"Transfer Bank",'📋 Data Pasien'!D760:D774)</f>
        <v/>
      </c>
      <c r="E76" s="176">
        <f>SUMIF('📋 Data Pasien'!C760:C774,"&lt;&gt;",'📋 Data Pasien'!D760:D774)</f>
        <v/>
      </c>
      <c r="F76" s="170">
        <f>SUMIFS('📋 Data Pasien'!G760:G774,'📋 Data Pasien'!H760:H774,"Cash",'📋 Data Pasien'!F760:F774,"Ambil Obat")</f>
        <v/>
      </c>
      <c r="G76" s="171">
        <f>SUMIFS('📋 Data Pasien'!G760:G774,'📋 Data Pasien'!H760:H774,"Transfer Bank",'📋 Data Pasien'!F760:F774,"Ambil Obat")</f>
        <v/>
      </c>
      <c r="H76" s="176">
        <f>SUMIF('📋 Data Pasien'!F760:F774,"Ambil Obat",'📋 Data Pasien'!G760:G774)</f>
        <v/>
      </c>
      <c r="I76" s="173">
        <f>IF(E76=0,"",E76+H76)</f>
        <v/>
      </c>
    </row>
    <row r="77" ht="21.75" customHeight="1" s="314">
      <c r="A77" s="168">
        <f>IF(COUNTA('📋 Data Pasien'!C777:C791)=0,"— 12 Jun 2026 —","Jum 12 Jun 2026")</f>
        <v/>
      </c>
      <c r="B77" s="169">
        <f>COUNTA('📋 Data Pasien'!C777:C791)</f>
        <v/>
      </c>
      <c r="C77" s="170">
        <f>SUMIF('📋 Data Pasien'!E777:E791,"Cash",'📋 Data Pasien'!D777:D791)</f>
        <v/>
      </c>
      <c r="D77" s="171">
        <f>SUMIF('📋 Data Pasien'!E777:E791,"Transfer Bank",'📋 Data Pasien'!D777:D791)</f>
        <v/>
      </c>
      <c r="E77" s="172">
        <f>SUMIF('📋 Data Pasien'!C777:C791,"&lt;&gt;",'📋 Data Pasien'!D777:D791)</f>
        <v/>
      </c>
      <c r="F77" s="170">
        <f>SUMIFS('📋 Data Pasien'!G777:G791,'📋 Data Pasien'!H777:H791,"Cash",'📋 Data Pasien'!F777:F791,"Ambil Obat")</f>
        <v/>
      </c>
      <c r="G77" s="171">
        <f>SUMIFS('📋 Data Pasien'!G777:G791,'📋 Data Pasien'!H777:H791,"Transfer Bank",'📋 Data Pasien'!F777:F791,"Ambil Obat")</f>
        <v/>
      </c>
      <c r="H77" s="172">
        <f>SUMIF('📋 Data Pasien'!F777:F791,"Ambil Obat",'📋 Data Pasien'!G777:G791)</f>
        <v/>
      </c>
      <c r="I77" s="173">
        <f>IF(E77=0,"",E77+H77)</f>
        <v/>
      </c>
    </row>
    <row r="78" ht="21.75" customHeight="1" s="314">
      <c r="A78" s="174">
        <f>IF(COUNTA('📋 Data Pasien'!C794:C808)=0,"— 13 Jun 2026 —","Sab 13 Jun 2026")</f>
        <v/>
      </c>
      <c r="B78" s="175">
        <f>COUNTA('📋 Data Pasien'!C794:C808)</f>
        <v/>
      </c>
      <c r="C78" s="170">
        <f>SUMIF('📋 Data Pasien'!E794:E808,"Cash",'📋 Data Pasien'!D794:D808)</f>
        <v/>
      </c>
      <c r="D78" s="171">
        <f>SUMIF('📋 Data Pasien'!E794:E808,"Transfer Bank",'📋 Data Pasien'!D794:D808)</f>
        <v/>
      </c>
      <c r="E78" s="176">
        <f>SUMIF('📋 Data Pasien'!C794:C808,"&lt;&gt;",'📋 Data Pasien'!D794:D808)</f>
        <v/>
      </c>
      <c r="F78" s="170">
        <f>SUMIFS('📋 Data Pasien'!G794:G808,'📋 Data Pasien'!H794:H808,"Cash",'📋 Data Pasien'!F794:F808,"Ambil Obat")</f>
        <v/>
      </c>
      <c r="G78" s="171">
        <f>SUMIFS('📋 Data Pasien'!G794:G808,'📋 Data Pasien'!H794:H808,"Transfer Bank",'📋 Data Pasien'!F794:F808,"Ambil Obat")</f>
        <v/>
      </c>
      <c r="H78" s="176">
        <f>SUMIF('📋 Data Pasien'!F794:F808,"Ambil Obat",'📋 Data Pasien'!G794:G808)</f>
        <v/>
      </c>
      <c r="I78" s="173">
        <f>IF(E78=0,"",E78+H78)</f>
        <v/>
      </c>
    </row>
    <row r="79" ht="21.75" customHeight="1" s="314">
      <c r="A79" s="168">
        <f>IF(COUNTA('📋 Data Pasien'!C811:C825)=0,"— 14 Jun 2026 —","Min 14 Jun 2026")</f>
        <v/>
      </c>
      <c r="B79" s="169">
        <f>COUNTA('📋 Data Pasien'!C811:C825)</f>
        <v/>
      </c>
      <c r="C79" s="170">
        <f>SUMIF('📋 Data Pasien'!E811:E825,"Cash",'📋 Data Pasien'!D811:D825)</f>
        <v/>
      </c>
      <c r="D79" s="171">
        <f>SUMIF('📋 Data Pasien'!E811:E825,"Transfer Bank",'📋 Data Pasien'!D811:D825)</f>
        <v/>
      </c>
      <c r="E79" s="172">
        <f>SUMIF('📋 Data Pasien'!C811:C825,"&lt;&gt;",'📋 Data Pasien'!D811:D825)</f>
        <v/>
      </c>
      <c r="F79" s="170">
        <f>SUMIFS('📋 Data Pasien'!G811:G825,'📋 Data Pasien'!H811:H825,"Cash",'📋 Data Pasien'!F811:F825,"Ambil Obat")</f>
        <v/>
      </c>
      <c r="G79" s="171">
        <f>SUMIFS('📋 Data Pasien'!G811:G825,'📋 Data Pasien'!H811:H825,"Transfer Bank",'📋 Data Pasien'!F811:F825,"Ambil Obat")</f>
        <v/>
      </c>
      <c r="H79" s="172">
        <f>SUMIF('📋 Data Pasien'!F811:F825,"Ambil Obat",'📋 Data Pasien'!G811:G825)</f>
        <v/>
      </c>
      <c r="I79" s="173">
        <f>IF(E79=0,"",E79+H79)</f>
        <v/>
      </c>
    </row>
    <row r="80" ht="21.75" customHeight="1" s="314">
      <c r="A80" s="174">
        <f>IF(COUNTA('📋 Data Pasien'!C828:C842)=0,"— 15 Jun 2026 —","Sen 15 Jun 2026")</f>
        <v/>
      </c>
      <c r="B80" s="175">
        <f>COUNTA('📋 Data Pasien'!C828:C842)</f>
        <v/>
      </c>
      <c r="C80" s="170">
        <f>SUMIF('📋 Data Pasien'!E828:E842,"Cash",'📋 Data Pasien'!D828:D842)</f>
        <v/>
      </c>
      <c r="D80" s="171">
        <f>SUMIF('📋 Data Pasien'!E828:E842,"Transfer Bank",'📋 Data Pasien'!D828:D842)</f>
        <v/>
      </c>
      <c r="E80" s="176">
        <f>SUMIF('📋 Data Pasien'!C828:C842,"&lt;&gt;",'📋 Data Pasien'!D828:D842)</f>
        <v/>
      </c>
      <c r="F80" s="170">
        <f>SUMIFS('📋 Data Pasien'!G828:G842,'📋 Data Pasien'!H828:H842,"Cash",'📋 Data Pasien'!F828:F842,"Ambil Obat")</f>
        <v/>
      </c>
      <c r="G80" s="171">
        <f>SUMIFS('📋 Data Pasien'!G828:G842,'📋 Data Pasien'!H828:H842,"Transfer Bank",'📋 Data Pasien'!F828:F842,"Ambil Obat")</f>
        <v/>
      </c>
      <c r="H80" s="176">
        <f>SUMIF('📋 Data Pasien'!F828:F842,"Ambil Obat",'📋 Data Pasien'!G828:G842)</f>
        <v/>
      </c>
      <c r="I80" s="173">
        <f>IF(E80=0,"",E80+H80)</f>
        <v/>
      </c>
    </row>
    <row r="81" ht="21.75" customHeight="1" s="314">
      <c r="A81" s="168">
        <f>IF(COUNTA('📋 Data Pasien'!C845:C859)=0,"— 16 Jun 2026 —","Sel 16 Jun 2026")</f>
        <v/>
      </c>
      <c r="B81" s="169">
        <f>COUNTA('📋 Data Pasien'!C845:C859)</f>
        <v/>
      </c>
      <c r="C81" s="170">
        <f>SUMIF('📋 Data Pasien'!E845:E859,"Cash",'📋 Data Pasien'!D845:D859)</f>
        <v/>
      </c>
      <c r="D81" s="171">
        <f>SUMIF('📋 Data Pasien'!E845:E859,"Transfer Bank",'📋 Data Pasien'!D845:D859)</f>
        <v/>
      </c>
      <c r="E81" s="172">
        <f>SUMIF('📋 Data Pasien'!C845:C859,"&lt;&gt;",'📋 Data Pasien'!D845:D859)</f>
        <v/>
      </c>
      <c r="F81" s="170">
        <f>SUMIFS('📋 Data Pasien'!G845:G859,'📋 Data Pasien'!H845:H859,"Cash",'📋 Data Pasien'!F845:F859,"Ambil Obat")</f>
        <v/>
      </c>
      <c r="G81" s="171">
        <f>SUMIFS('📋 Data Pasien'!G845:G859,'📋 Data Pasien'!H845:H859,"Transfer Bank",'📋 Data Pasien'!F845:F859,"Ambil Obat")</f>
        <v/>
      </c>
      <c r="H81" s="172">
        <f>SUMIF('📋 Data Pasien'!F845:F859,"Ambil Obat",'📋 Data Pasien'!G845:G859)</f>
        <v/>
      </c>
      <c r="I81" s="173">
        <f>IF(E81=0,"",E81+H81)</f>
        <v/>
      </c>
    </row>
    <row r="82" ht="21.75" customHeight="1" s="314">
      <c r="A82" s="174">
        <f>IF(COUNTA('📋 Data Pasien'!C862:C876)=0,"— 17 Jun 2026 —","Rab 17 Jun 2026")</f>
        <v/>
      </c>
      <c r="B82" s="175">
        <f>COUNTA('📋 Data Pasien'!C862:C876)</f>
        <v/>
      </c>
      <c r="C82" s="170">
        <f>SUMIF('📋 Data Pasien'!E862:E876,"Cash",'📋 Data Pasien'!D862:D876)</f>
        <v/>
      </c>
      <c r="D82" s="171">
        <f>SUMIF('📋 Data Pasien'!E862:E876,"Transfer Bank",'📋 Data Pasien'!D862:D876)</f>
        <v/>
      </c>
      <c r="E82" s="176">
        <f>SUMIF('📋 Data Pasien'!C862:C876,"&lt;&gt;",'📋 Data Pasien'!D862:D876)</f>
        <v/>
      </c>
      <c r="F82" s="170">
        <f>SUMIFS('📋 Data Pasien'!G862:G876,'📋 Data Pasien'!H862:H876,"Cash",'📋 Data Pasien'!F862:F876,"Ambil Obat")</f>
        <v/>
      </c>
      <c r="G82" s="171">
        <f>SUMIFS('📋 Data Pasien'!G862:G876,'📋 Data Pasien'!H862:H876,"Transfer Bank",'📋 Data Pasien'!F862:F876,"Ambil Obat")</f>
        <v/>
      </c>
      <c r="H82" s="176">
        <f>SUMIF('📋 Data Pasien'!F862:F876,"Ambil Obat",'📋 Data Pasien'!G862:G876)</f>
        <v/>
      </c>
      <c r="I82" s="173">
        <f>IF(E82=0,"",E82+H82)</f>
        <v/>
      </c>
    </row>
    <row r="83" ht="21.75" customHeight="1" s="314">
      <c r="A83" s="168">
        <f>IF(COUNTA('📋 Data Pasien'!C879:C893)=0,"— 18 Jun 2026 —","Kam 18 Jun 2026")</f>
        <v/>
      </c>
      <c r="B83" s="169">
        <f>COUNTA('📋 Data Pasien'!C879:C893)</f>
        <v/>
      </c>
      <c r="C83" s="170">
        <f>SUMIF('📋 Data Pasien'!E879:E893,"Cash",'📋 Data Pasien'!D879:D893)</f>
        <v/>
      </c>
      <c r="D83" s="171">
        <f>SUMIF('📋 Data Pasien'!E879:E893,"Transfer Bank",'📋 Data Pasien'!D879:D893)</f>
        <v/>
      </c>
      <c r="E83" s="172">
        <f>SUMIF('📋 Data Pasien'!C879:C893,"&lt;&gt;",'📋 Data Pasien'!D879:D893)</f>
        <v/>
      </c>
      <c r="F83" s="170">
        <f>SUMIFS('📋 Data Pasien'!G879:G893,'📋 Data Pasien'!H879:H893,"Cash",'📋 Data Pasien'!F879:F893,"Ambil Obat")</f>
        <v/>
      </c>
      <c r="G83" s="171">
        <f>SUMIFS('📋 Data Pasien'!G879:G893,'📋 Data Pasien'!H879:H893,"Transfer Bank",'📋 Data Pasien'!F879:F893,"Ambil Obat")</f>
        <v/>
      </c>
      <c r="H83" s="172">
        <f>SUMIF('📋 Data Pasien'!F879:F893,"Ambil Obat",'📋 Data Pasien'!G879:G893)</f>
        <v/>
      </c>
      <c r="I83" s="173">
        <f>IF(E83=0,"",E83+H83)</f>
        <v/>
      </c>
    </row>
    <row r="84" ht="21.75" customHeight="1" s="314">
      <c r="A84" s="174">
        <f>IF(COUNTA('📋 Data Pasien'!C896:C910)=0,"— 19 Jun 2026 —","Jum 19 Jun 2026")</f>
        <v/>
      </c>
      <c r="B84" s="175">
        <f>COUNTA('📋 Data Pasien'!C896:C910)</f>
        <v/>
      </c>
      <c r="C84" s="170">
        <f>SUMIF('📋 Data Pasien'!E896:E910,"Cash",'📋 Data Pasien'!D896:D910)</f>
        <v/>
      </c>
      <c r="D84" s="171">
        <f>SUMIF('📋 Data Pasien'!E896:E910,"Transfer Bank",'📋 Data Pasien'!D896:D910)</f>
        <v/>
      </c>
      <c r="E84" s="176">
        <f>SUMIF('📋 Data Pasien'!C896:C910,"&lt;&gt;",'📋 Data Pasien'!D896:D910)</f>
        <v/>
      </c>
      <c r="F84" s="170">
        <f>SUMIFS('📋 Data Pasien'!G896:G910,'📋 Data Pasien'!H896:H910,"Cash",'📋 Data Pasien'!F896:F910,"Ambil Obat")</f>
        <v/>
      </c>
      <c r="G84" s="171">
        <f>SUMIFS('📋 Data Pasien'!G896:G910,'📋 Data Pasien'!H896:H910,"Transfer Bank",'📋 Data Pasien'!F896:F910,"Ambil Obat")</f>
        <v/>
      </c>
      <c r="H84" s="176">
        <f>SUMIF('📋 Data Pasien'!F896:F910,"Ambil Obat",'📋 Data Pasien'!G896:G910)</f>
        <v/>
      </c>
      <c r="I84" s="173">
        <f>IF(E84=0,"",E84+H84)</f>
        <v/>
      </c>
    </row>
    <row r="85" ht="21.75" customHeight="1" s="314">
      <c r="A85" s="168">
        <f>IF(COUNTA('📋 Data Pasien'!C913:C927)=0,"— 20 Jun 2026 —","Sab 20 Jun 2026")</f>
        <v/>
      </c>
      <c r="B85" s="169">
        <f>COUNTA('📋 Data Pasien'!C913:C927)</f>
        <v/>
      </c>
      <c r="C85" s="170">
        <f>SUMIF('📋 Data Pasien'!E913:E927,"Cash",'📋 Data Pasien'!D913:D927)</f>
        <v/>
      </c>
      <c r="D85" s="171">
        <f>SUMIF('📋 Data Pasien'!E913:E927,"Transfer Bank",'📋 Data Pasien'!D913:D927)</f>
        <v/>
      </c>
      <c r="E85" s="172">
        <f>SUMIF('📋 Data Pasien'!C913:C927,"&lt;&gt;",'📋 Data Pasien'!D913:D927)</f>
        <v/>
      </c>
      <c r="F85" s="170">
        <f>SUMIFS('📋 Data Pasien'!G913:G927,'📋 Data Pasien'!H913:H927,"Cash",'📋 Data Pasien'!F913:F927,"Ambil Obat")</f>
        <v/>
      </c>
      <c r="G85" s="171">
        <f>SUMIFS('📋 Data Pasien'!G913:G927,'📋 Data Pasien'!H913:H927,"Transfer Bank",'📋 Data Pasien'!F913:F927,"Ambil Obat")</f>
        <v/>
      </c>
      <c r="H85" s="172">
        <f>SUMIF('📋 Data Pasien'!F913:F927,"Ambil Obat",'📋 Data Pasien'!G913:G927)</f>
        <v/>
      </c>
      <c r="I85" s="173">
        <f>IF(E85=0,"",E85+H85)</f>
        <v/>
      </c>
    </row>
    <row r="86" ht="21.75" customHeight="1" s="314">
      <c r="A86" s="174">
        <f>IF(COUNTA('📋 Data Pasien'!C930:C944)=0,"— 21 Jun 2026 —","Min 21 Jun 2026")</f>
        <v/>
      </c>
      <c r="B86" s="175">
        <f>COUNTA('📋 Data Pasien'!C930:C944)</f>
        <v/>
      </c>
      <c r="C86" s="170">
        <f>SUMIF('📋 Data Pasien'!E930:E944,"Cash",'📋 Data Pasien'!D930:D944)</f>
        <v/>
      </c>
      <c r="D86" s="171">
        <f>SUMIF('📋 Data Pasien'!E930:E944,"Transfer Bank",'📋 Data Pasien'!D930:D944)</f>
        <v/>
      </c>
      <c r="E86" s="176">
        <f>SUMIF('📋 Data Pasien'!C930:C944,"&lt;&gt;",'📋 Data Pasien'!D930:D944)</f>
        <v/>
      </c>
      <c r="F86" s="170">
        <f>SUMIFS('📋 Data Pasien'!G930:G944,'📋 Data Pasien'!H930:H944,"Cash",'📋 Data Pasien'!F930:F944,"Ambil Obat")</f>
        <v/>
      </c>
      <c r="G86" s="171">
        <f>SUMIFS('📋 Data Pasien'!G930:G944,'📋 Data Pasien'!H930:H944,"Transfer Bank",'📋 Data Pasien'!F930:F944,"Ambil Obat")</f>
        <v/>
      </c>
      <c r="H86" s="176">
        <f>SUMIF('📋 Data Pasien'!F930:F944,"Ambil Obat",'📋 Data Pasien'!G930:G944)</f>
        <v/>
      </c>
      <c r="I86" s="173">
        <f>IF(E86=0,"",E86+H86)</f>
        <v/>
      </c>
    </row>
    <row r="87" ht="21.75" customHeight="1" s="314">
      <c r="A87" s="168">
        <f>IF(COUNTA('📋 Data Pasien'!C947:C961)=0,"— 22 Jun 2026 —","Sen 22 Jun 2026")</f>
        <v/>
      </c>
      <c r="B87" s="169">
        <f>COUNTA('📋 Data Pasien'!C947:C961)</f>
        <v/>
      </c>
      <c r="C87" s="170">
        <f>SUMIF('📋 Data Pasien'!E947:E961,"Cash",'📋 Data Pasien'!D947:D961)</f>
        <v/>
      </c>
      <c r="D87" s="171">
        <f>SUMIF('📋 Data Pasien'!E947:E961,"Transfer Bank",'📋 Data Pasien'!D947:D961)</f>
        <v/>
      </c>
      <c r="E87" s="172">
        <f>SUMIF('📋 Data Pasien'!C947:C961,"&lt;&gt;",'📋 Data Pasien'!D947:D961)</f>
        <v/>
      </c>
      <c r="F87" s="170">
        <f>SUMIFS('📋 Data Pasien'!G947:G961,'📋 Data Pasien'!H947:H961,"Cash",'📋 Data Pasien'!F947:F961,"Ambil Obat")</f>
        <v/>
      </c>
      <c r="G87" s="171">
        <f>SUMIFS('📋 Data Pasien'!G947:G961,'📋 Data Pasien'!H947:H961,"Transfer Bank",'📋 Data Pasien'!F947:F961,"Ambil Obat")</f>
        <v/>
      </c>
      <c r="H87" s="172">
        <f>SUMIF('📋 Data Pasien'!F947:F961,"Ambil Obat",'📋 Data Pasien'!G947:G961)</f>
        <v/>
      </c>
      <c r="I87" s="173">
        <f>IF(E87=0,"",E87+H87)</f>
        <v/>
      </c>
    </row>
    <row r="88" ht="21.75" customHeight="1" s="314">
      <c r="A88" s="174">
        <f>IF(COUNTA('📋 Data Pasien'!C964:C978)=0,"— 23 Jun 2026 —","Sel 23 Jun 2026")</f>
        <v/>
      </c>
      <c r="B88" s="175">
        <f>COUNTA('📋 Data Pasien'!C964:C978)</f>
        <v/>
      </c>
      <c r="C88" s="170">
        <f>SUMIF('📋 Data Pasien'!E964:E978,"Cash",'📋 Data Pasien'!D964:D978)</f>
        <v/>
      </c>
      <c r="D88" s="171">
        <f>SUMIF('📋 Data Pasien'!E964:E978,"Transfer Bank",'📋 Data Pasien'!D964:D978)</f>
        <v/>
      </c>
      <c r="E88" s="176">
        <f>SUMIF('📋 Data Pasien'!C964:C978,"&lt;&gt;",'📋 Data Pasien'!D964:D978)</f>
        <v/>
      </c>
      <c r="F88" s="170">
        <f>SUMIFS('📋 Data Pasien'!G964:G978,'📋 Data Pasien'!H964:H978,"Cash",'📋 Data Pasien'!F964:F978,"Ambil Obat")</f>
        <v/>
      </c>
      <c r="G88" s="171">
        <f>SUMIFS('📋 Data Pasien'!G964:G978,'📋 Data Pasien'!H964:H978,"Transfer Bank",'📋 Data Pasien'!F964:F978,"Ambil Obat")</f>
        <v/>
      </c>
      <c r="H88" s="176">
        <f>SUMIF('📋 Data Pasien'!F964:F978,"Ambil Obat",'📋 Data Pasien'!G964:G978)</f>
        <v/>
      </c>
      <c r="I88" s="173">
        <f>IF(E88=0,"",E88+H88)</f>
        <v/>
      </c>
    </row>
    <row r="89" ht="21.75" customHeight="1" s="314">
      <c r="A89" s="168">
        <f>IF(COUNTA('📋 Data Pasien'!C981:C995)=0,"— 24 Jun 2026 —","Rab 24 Jun 2026")</f>
        <v/>
      </c>
      <c r="B89" s="169">
        <f>COUNTA('📋 Data Pasien'!C981:C995)</f>
        <v/>
      </c>
      <c r="C89" s="170">
        <f>SUMIF('📋 Data Pasien'!E981:E995,"Cash",'📋 Data Pasien'!D981:D995)</f>
        <v/>
      </c>
      <c r="D89" s="171">
        <f>SUMIF('📋 Data Pasien'!E981:E995,"Transfer Bank",'📋 Data Pasien'!D981:D995)</f>
        <v/>
      </c>
      <c r="E89" s="172">
        <f>SUMIF('📋 Data Pasien'!C981:C995,"&lt;&gt;",'📋 Data Pasien'!D981:D995)</f>
        <v/>
      </c>
      <c r="F89" s="170">
        <f>SUMIFS('📋 Data Pasien'!G981:G995,'📋 Data Pasien'!H981:H995,"Cash",'📋 Data Pasien'!F981:F995,"Ambil Obat")</f>
        <v/>
      </c>
      <c r="G89" s="171">
        <f>SUMIFS('📋 Data Pasien'!G981:G995,'📋 Data Pasien'!H981:H995,"Transfer Bank",'📋 Data Pasien'!F981:F995,"Ambil Obat")</f>
        <v/>
      </c>
      <c r="H89" s="172">
        <f>SUMIF('📋 Data Pasien'!F981:F995,"Ambil Obat",'📋 Data Pasien'!G981:G995)</f>
        <v/>
      </c>
      <c r="I89" s="173">
        <f>IF(E89=0,"",E89+H89)</f>
        <v/>
      </c>
    </row>
    <row r="90" ht="21.75" customHeight="1" s="314">
      <c r="A90" s="174">
        <f>IF(COUNTA('📋 Data Pasien'!C998:C1012)=0,"— 25 Jun 2026 —","Kam 25 Jun 2026")</f>
        <v/>
      </c>
      <c r="B90" s="175">
        <f>COUNTA('📋 Data Pasien'!C998:C1012)</f>
        <v/>
      </c>
      <c r="C90" s="170">
        <f>SUMIF('📋 Data Pasien'!E998:E1012,"Cash",'📋 Data Pasien'!D998:D1012)</f>
        <v/>
      </c>
      <c r="D90" s="171">
        <f>SUMIF('📋 Data Pasien'!E998:E1012,"Transfer Bank",'📋 Data Pasien'!D998:D1012)</f>
        <v/>
      </c>
      <c r="E90" s="176">
        <f>SUMIF('📋 Data Pasien'!C998:C1012,"&lt;&gt;",'📋 Data Pasien'!D998:D1012)</f>
        <v/>
      </c>
      <c r="F90" s="170">
        <f>SUMIFS('📋 Data Pasien'!G998:G1012,'📋 Data Pasien'!H998:H1012,"Cash",'📋 Data Pasien'!F998:F1012,"Ambil Obat")</f>
        <v/>
      </c>
      <c r="G90" s="171">
        <f>SUMIFS('📋 Data Pasien'!G998:G1012,'📋 Data Pasien'!H998:H1012,"Transfer Bank",'📋 Data Pasien'!F998:F1012,"Ambil Obat")</f>
        <v/>
      </c>
      <c r="H90" s="176">
        <f>SUMIF('📋 Data Pasien'!F998:F1012,"Ambil Obat",'📋 Data Pasien'!G998:G1012)</f>
        <v/>
      </c>
      <c r="I90" s="173">
        <f>IF(E90=0,"",E90+H90)</f>
        <v/>
      </c>
    </row>
    <row r="91" ht="21.75" customHeight="1" s="314">
      <c r="A91" s="168">
        <f>IF(COUNTA('📋 Data Pasien'!C1015:C1029)=0,"— 26 Jun 2026 —","Jum 26 Jun 2026")</f>
        <v/>
      </c>
      <c r="B91" s="169">
        <f>COUNTA('📋 Data Pasien'!C1015:C1029)</f>
        <v/>
      </c>
      <c r="C91" s="170">
        <f>SUMIF('📋 Data Pasien'!E1015:E1029,"Cash",'📋 Data Pasien'!D1015:D1029)</f>
        <v/>
      </c>
      <c r="D91" s="171">
        <f>SUMIF('📋 Data Pasien'!E1015:E1029,"Transfer Bank",'📋 Data Pasien'!D1015:D1029)</f>
        <v/>
      </c>
      <c r="E91" s="172">
        <f>SUMIF('📋 Data Pasien'!C1015:C1029,"&lt;&gt;",'📋 Data Pasien'!D1015:D1029)</f>
        <v/>
      </c>
      <c r="F91" s="170">
        <f>SUMIFS('📋 Data Pasien'!G1015:G1029,'📋 Data Pasien'!H1015:H1029,"Cash",'📋 Data Pasien'!F1015:F1029,"Ambil Obat")</f>
        <v/>
      </c>
      <c r="G91" s="171">
        <f>SUMIFS('📋 Data Pasien'!G1015:G1029,'📋 Data Pasien'!H1015:H1029,"Transfer Bank",'📋 Data Pasien'!F1015:F1029,"Ambil Obat")</f>
        <v/>
      </c>
      <c r="H91" s="172">
        <f>SUMIF('📋 Data Pasien'!F1015:F1029,"Ambil Obat",'📋 Data Pasien'!G1015:G1029)</f>
        <v/>
      </c>
      <c r="I91" s="173">
        <f>IF(E91=0,"",E91+H91)</f>
        <v/>
      </c>
    </row>
    <row r="92" ht="21.75" customHeight="1" s="314">
      <c r="A92" s="174">
        <f>IF(COUNTA('📋 Data Pasien'!C1032:C1046)=0,"— 27 Jun 2026 —","Sab 27 Jun 2026")</f>
        <v/>
      </c>
      <c r="B92" s="175">
        <f>COUNTA('📋 Data Pasien'!C1032:C1046)</f>
        <v/>
      </c>
      <c r="C92" s="170">
        <f>SUMIF('📋 Data Pasien'!E1032:E1046,"Cash",'📋 Data Pasien'!D1032:D1046)</f>
        <v/>
      </c>
      <c r="D92" s="171">
        <f>SUMIF('📋 Data Pasien'!E1032:E1046,"Transfer Bank",'📋 Data Pasien'!D1032:D1046)</f>
        <v/>
      </c>
      <c r="E92" s="176">
        <f>SUMIF('📋 Data Pasien'!C1032:C1046,"&lt;&gt;",'📋 Data Pasien'!D1032:D1046)</f>
        <v/>
      </c>
      <c r="F92" s="170">
        <f>SUMIFS('📋 Data Pasien'!G1032:G1046,'📋 Data Pasien'!H1032:H1046,"Cash",'📋 Data Pasien'!F1032:F1046,"Ambil Obat")</f>
        <v/>
      </c>
      <c r="G92" s="171">
        <f>SUMIFS('📋 Data Pasien'!G1032:G1046,'📋 Data Pasien'!H1032:H1046,"Transfer Bank",'📋 Data Pasien'!F1032:F1046,"Ambil Obat")</f>
        <v/>
      </c>
      <c r="H92" s="176">
        <f>SUMIF('📋 Data Pasien'!F1032:F1046,"Ambil Obat",'📋 Data Pasien'!G1032:G1046)</f>
        <v/>
      </c>
      <c r="I92" s="173">
        <f>IF(E92=0,"",E92+H92)</f>
        <v/>
      </c>
    </row>
    <row r="93" ht="21.75" customHeight="1" s="314">
      <c r="A93" s="168">
        <f>IF(COUNTA('📋 Data Pasien'!C1049:C1063)=0,"— 28 Jun 2026 —","Min 28 Jun 2026")</f>
        <v/>
      </c>
      <c r="B93" s="169">
        <f>COUNTA('📋 Data Pasien'!C1049:C1063)</f>
        <v/>
      </c>
      <c r="C93" s="170">
        <f>SUMIF('📋 Data Pasien'!E1049:E1063,"Cash",'📋 Data Pasien'!D1049:D1063)</f>
        <v/>
      </c>
      <c r="D93" s="171">
        <f>SUMIF('📋 Data Pasien'!E1049:E1063,"Transfer Bank",'📋 Data Pasien'!D1049:D1063)</f>
        <v/>
      </c>
      <c r="E93" s="172">
        <f>SUMIF('📋 Data Pasien'!C1049:C1063,"&lt;&gt;",'📋 Data Pasien'!D1049:D1063)</f>
        <v/>
      </c>
      <c r="F93" s="170">
        <f>SUMIFS('📋 Data Pasien'!G1049:G1063,'📋 Data Pasien'!H1049:H1063,"Cash",'📋 Data Pasien'!F1049:F1063,"Ambil Obat")</f>
        <v/>
      </c>
      <c r="G93" s="171">
        <f>SUMIFS('📋 Data Pasien'!G1049:G1063,'📋 Data Pasien'!H1049:H1063,"Transfer Bank",'📋 Data Pasien'!F1049:F1063,"Ambil Obat")</f>
        <v/>
      </c>
      <c r="H93" s="172">
        <f>SUMIF('📋 Data Pasien'!F1049:F1063,"Ambil Obat",'📋 Data Pasien'!G1049:G1063)</f>
        <v/>
      </c>
      <c r="I93" s="173">
        <f>IF(E93=0,"",E93+H93)</f>
        <v/>
      </c>
    </row>
    <row r="94" ht="21.75" customHeight="1" s="314">
      <c r="A94" s="174">
        <f>IF(COUNTA('📋 Data Pasien'!C1066:C1080)=0,"— 29 Jun 2026 —","Sen 29 Jun 2026")</f>
        <v/>
      </c>
      <c r="B94" s="175">
        <f>COUNTA('📋 Data Pasien'!C1066:C1080)</f>
        <v/>
      </c>
      <c r="C94" s="170">
        <f>SUMIF('📋 Data Pasien'!E1066:E1080,"Cash",'📋 Data Pasien'!D1066:D1080)</f>
        <v/>
      </c>
      <c r="D94" s="171">
        <f>SUMIF('📋 Data Pasien'!E1066:E1080,"Transfer Bank",'📋 Data Pasien'!D1066:D1080)</f>
        <v/>
      </c>
      <c r="E94" s="176">
        <f>SUMIF('📋 Data Pasien'!C1066:C1080,"&lt;&gt;",'📋 Data Pasien'!D1066:D1080)</f>
        <v/>
      </c>
      <c r="F94" s="170">
        <f>SUMIFS('📋 Data Pasien'!G1066:G1080,'📋 Data Pasien'!H1066:H1080,"Cash",'📋 Data Pasien'!F1066:F1080,"Ambil Obat")</f>
        <v/>
      </c>
      <c r="G94" s="171">
        <f>SUMIFS('📋 Data Pasien'!G1066:G1080,'📋 Data Pasien'!H1066:H1080,"Transfer Bank",'📋 Data Pasien'!F1066:F1080,"Ambil Obat")</f>
        <v/>
      </c>
      <c r="H94" s="176">
        <f>SUMIF('📋 Data Pasien'!F1066:F1080,"Ambil Obat",'📋 Data Pasien'!G1066:G1080)</f>
        <v/>
      </c>
      <c r="I94" s="173">
        <f>IF(E94=0,"",E94+H94)</f>
        <v/>
      </c>
    </row>
    <row r="95" ht="21.75" customHeight="1" s="314">
      <c r="A95" s="168">
        <f>IF(COUNTA('📋 Data Pasien'!C1083:C1097)=0,"— 30 Jun 2026 —","Sel 30 Jun 2026")</f>
        <v/>
      </c>
      <c r="B95" s="169">
        <f>COUNTA('📋 Data Pasien'!C1083:C1097)</f>
        <v/>
      </c>
      <c r="C95" s="170">
        <f>SUMIF('📋 Data Pasien'!E1083:E1097,"Cash",'📋 Data Pasien'!D1083:D1097)</f>
        <v/>
      </c>
      <c r="D95" s="171">
        <f>SUMIF('📋 Data Pasien'!E1083:E1097,"Transfer Bank",'📋 Data Pasien'!D1083:D1097)</f>
        <v/>
      </c>
      <c r="E95" s="172">
        <f>SUMIF('📋 Data Pasien'!C1083:C1097,"&lt;&gt;",'📋 Data Pasien'!D1083:D1097)</f>
        <v/>
      </c>
      <c r="F95" s="170">
        <f>SUMIFS('📋 Data Pasien'!G1083:G1097,'📋 Data Pasien'!H1083:H1097,"Cash",'📋 Data Pasien'!F1083:F1097,"Ambil Obat")</f>
        <v/>
      </c>
      <c r="G95" s="171">
        <f>SUMIFS('📋 Data Pasien'!G1083:G1097,'📋 Data Pasien'!H1083:H1097,"Transfer Bank",'📋 Data Pasien'!F1083:F1097,"Ambil Obat")</f>
        <v/>
      </c>
      <c r="H95" s="172">
        <f>SUMIF('📋 Data Pasien'!F1083:F1097,"Ambil Obat",'📋 Data Pasien'!G1083:G1097)</f>
        <v/>
      </c>
      <c r="I95" s="173">
        <f>IF(E95=0,"",E95+H95)</f>
        <v/>
      </c>
    </row>
    <row r="96" ht="27.75" customHeight="1" s="314">
      <c r="A96" s="285" t="inlineStr">
        <is>
          <t>TOTAL</t>
        </is>
      </c>
      <c r="B96" s="322" t="n"/>
      <c r="C96" s="179">
        <f>SUM(C5:C95)</f>
        <v/>
      </c>
      <c r="D96" s="179">
        <f>SUM(D5:D95)</f>
        <v/>
      </c>
      <c r="E96" s="179">
        <f>SUM(E5:E95)</f>
        <v/>
      </c>
      <c r="F96" s="179">
        <f>SUM(F5:F95)</f>
        <v/>
      </c>
      <c r="G96" s="179">
        <f>SUM(G5:G95)</f>
        <v/>
      </c>
      <c r="H96" s="179">
        <f>SUM(H5:H95)</f>
        <v/>
      </c>
      <c r="I96" s="179">
        <f>SUM(I5:I95)</f>
        <v/>
      </c>
    </row>
    <row r="97" ht="15" customHeight="1" s="314">
      <c r="A97" s="55" t="n"/>
      <c r="B97" s="55" t="n"/>
      <c r="C97" s="55" t="n"/>
      <c r="D97" s="55" t="n"/>
      <c r="E97" s="55" t="n"/>
      <c r="F97" s="55" t="n"/>
      <c r="G97" s="55" t="n"/>
      <c r="H97" s="55" t="n"/>
      <c r="I97" s="55" t="n"/>
    </row>
    <row r="98" ht="15" customHeight="1" s="314">
      <c r="A98" s="55" t="n"/>
      <c r="B98" s="55" t="n"/>
      <c r="C98" s="55" t="n"/>
      <c r="D98" s="55" t="n"/>
      <c r="E98" s="55" t="n"/>
      <c r="F98" s="55" t="n"/>
      <c r="G98" s="55" t="n"/>
      <c r="H98" s="55" t="n"/>
      <c r="I98" s="55" t="n"/>
    </row>
    <row r="99" ht="15" customHeight="1" s="314">
      <c r="A99" s="55" t="n"/>
      <c r="B99" s="55" t="n"/>
      <c r="C99" s="55" t="n"/>
      <c r="D99" s="55" t="n"/>
      <c r="E99" s="55" t="n"/>
      <c r="F99" s="55" t="n"/>
      <c r="G99" s="55" t="n"/>
      <c r="H99" s="55" t="n"/>
      <c r="I99" s="55" t="n"/>
    </row>
    <row r="100" ht="15" customHeight="1" s="314">
      <c r="A100" s="55" t="n"/>
      <c r="B100" s="55" t="n"/>
      <c r="C100" s="55" t="n"/>
      <c r="D100" s="55" t="n"/>
      <c r="E100" s="55" t="n"/>
      <c r="F100" s="55" t="n"/>
      <c r="G100" s="55" t="n"/>
      <c r="H100" s="55" t="n"/>
      <c r="I100" s="55" t="n"/>
    </row>
    <row r="101" ht="15" customHeight="1" s="314">
      <c r="A101" s="55" t="n"/>
      <c r="B101" s="55" t="n"/>
      <c r="C101" s="55" t="n"/>
      <c r="D101" s="55" t="n"/>
      <c r="E101" s="55" t="n"/>
      <c r="F101" s="55" t="n"/>
      <c r="G101" s="55" t="n"/>
      <c r="H101" s="55" t="n"/>
      <c r="I101" s="55" t="n"/>
    </row>
    <row r="102" ht="15" customHeight="1" s="314">
      <c r="A102" s="55" t="n"/>
      <c r="B102" s="55" t="n"/>
      <c r="C102" s="55" t="n"/>
      <c r="D102" s="55" t="n"/>
      <c r="E102" s="55" t="n"/>
      <c r="F102" s="55" t="n"/>
      <c r="G102" s="55" t="n"/>
      <c r="H102" s="55" t="n"/>
      <c r="I102" s="55" t="n"/>
    </row>
    <row r="103" ht="15" customHeight="1" s="314">
      <c r="A103" s="55" t="n"/>
      <c r="B103" s="55" t="n"/>
      <c r="C103" s="55" t="n"/>
      <c r="D103" s="55" t="n"/>
      <c r="E103" s="55" t="n"/>
      <c r="F103" s="55" t="n"/>
      <c r="G103" s="55" t="n"/>
      <c r="H103" s="55" t="n"/>
      <c r="I103" s="55" t="n"/>
    </row>
    <row r="104" ht="15" customHeight="1" s="314">
      <c r="A104" s="55" t="n"/>
      <c r="B104" s="55" t="n"/>
      <c r="C104" s="55" t="n"/>
      <c r="D104" s="55" t="n"/>
      <c r="E104" s="55" t="n"/>
      <c r="F104" s="55" t="n"/>
      <c r="G104" s="55" t="n"/>
      <c r="H104" s="55" t="n"/>
      <c r="I104" s="55" t="n"/>
    </row>
    <row r="105" ht="15" customHeight="1" s="314">
      <c r="A105" s="55" t="n"/>
      <c r="B105" s="55" t="n"/>
      <c r="C105" s="55" t="n"/>
      <c r="D105" s="55" t="n"/>
      <c r="E105" s="55" t="n"/>
      <c r="F105" s="55" t="n"/>
      <c r="G105" s="55" t="n"/>
      <c r="H105" s="55" t="n"/>
      <c r="I105" s="55" t="n"/>
    </row>
    <row r="106" ht="15" customHeight="1" s="314">
      <c r="A106" s="55" t="n"/>
      <c r="B106" s="55" t="n"/>
      <c r="C106" s="55" t="n"/>
      <c r="D106" s="55" t="n"/>
      <c r="E106" s="55" t="n"/>
      <c r="F106" s="55" t="n"/>
      <c r="G106" s="55" t="n"/>
      <c r="H106" s="55" t="n"/>
      <c r="I106" s="55" t="n"/>
    </row>
    <row r="107" ht="15" customHeight="1" s="314">
      <c r="A107" s="55" t="n"/>
      <c r="B107" s="55" t="n"/>
      <c r="C107" s="55" t="n"/>
      <c r="D107" s="55" t="n"/>
      <c r="E107" s="55" t="n"/>
      <c r="F107" s="55" t="n"/>
      <c r="G107" s="55" t="n"/>
      <c r="H107" s="55" t="n"/>
      <c r="I107" s="55" t="n"/>
    </row>
    <row r="108" ht="15" customHeight="1" s="314">
      <c r="A108" s="55" t="n"/>
      <c r="B108" s="55" t="n"/>
      <c r="C108" s="55" t="n"/>
      <c r="D108" s="55" t="n"/>
      <c r="E108" s="55" t="n"/>
      <c r="F108" s="55" t="n"/>
      <c r="G108" s="55" t="n"/>
      <c r="H108" s="55" t="n"/>
      <c r="I108" s="55" t="n"/>
    </row>
    <row r="109" ht="15" customHeight="1" s="314">
      <c r="A109" s="55" t="n"/>
      <c r="B109" s="55" t="n"/>
      <c r="C109" s="55" t="n"/>
      <c r="D109" s="55" t="n"/>
      <c r="E109" s="55" t="n"/>
      <c r="F109" s="55" t="n"/>
      <c r="G109" s="55" t="n"/>
      <c r="H109" s="55" t="n"/>
      <c r="I109" s="55" t="n"/>
    </row>
    <row r="110" ht="15" customHeight="1" s="314">
      <c r="A110" s="55" t="n"/>
      <c r="B110" s="55" t="n"/>
      <c r="C110" s="55" t="n"/>
      <c r="D110" s="55" t="n"/>
      <c r="E110" s="55" t="n"/>
      <c r="F110" s="55" t="n"/>
      <c r="G110" s="55" t="n"/>
      <c r="H110" s="55" t="n"/>
      <c r="I110" s="55" t="n"/>
    </row>
    <row r="111" ht="15" customHeight="1" s="314">
      <c r="A111" s="55" t="n"/>
      <c r="B111" s="55" t="n"/>
      <c r="C111" s="55" t="n"/>
      <c r="D111" s="55" t="n"/>
      <c r="E111" s="55" t="n"/>
      <c r="F111" s="55" t="n"/>
      <c r="G111" s="55" t="n"/>
      <c r="H111" s="55" t="n"/>
      <c r="I111" s="55" t="n"/>
    </row>
    <row r="112" ht="15" customHeight="1" s="314">
      <c r="A112" s="55" t="n"/>
      <c r="B112" s="55" t="n"/>
      <c r="C112" s="55" t="n"/>
      <c r="D112" s="55" t="n"/>
      <c r="E112" s="55" t="n"/>
      <c r="F112" s="55" t="n"/>
      <c r="G112" s="55" t="n"/>
      <c r="H112" s="55" t="n"/>
      <c r="I112" s="55" t="n"/>
    </row>
    <row r="113" ht="15" customHeight="1" s="314">
      <c r="A113" s="55" t="n"/>
      <c r="B113" s="55" t="n"/>
      <c r="C113" s="55" t="n"/>
      <c r="D113" s="55" t="n"/>
      <c r="E113" s="55" t="n"/>
      <c r="F113" s="55" t="n"/>
      <c r="G113" s="55" t="n"/>
      <c r="H113" s="55" t="n"/>
      <c r="I113" s="55" t="n"/>
    </row>
    <row r="114" ht="15" customHeight="1" s="314">
      <c r="A114" s="55" t="n"/>
      <c r="B114" s="55" t="n"/>
      <c r="C114" s="55" t="n"/>
      <c r="D114" s="55" t="n"/>
      <c r="E114" s="55" t="n"/>
      <c r="F114" s="55" t="n"/>
      <c r="G114" s="55" t="n"/>
      <c r="H114" s="55" t="n"/>
      <c r="I114" s="55" t="n"/>
    </row>
    <row r="115" ht="15" customHeight="1" s="314">
      <c r="A115" s="55" t="n"/>
      <c r="B115" s="55" t="n"/>
      <c r="C115" s="55" t="n"/>
      <c r="D115" s="55" t="n"/>
      <c r="E115" s="55" t="n"/>
      <c r="F115" s="55" t="n"/>
      <c r="G115" s="55" t="n"/>
      <c r="H115" s="55" t="n"/>
      <c r="I115" s="55" t="n"/>
    </row>
    <row r="116" ht="15" customHeight="1" s="314">
      <c r="A116" s="55" t="n"/>
      <c r="B116" s="55" t="n"/>
      <c r="C116" s="55" t="n"/>
      <c r="D116" s="55" t="n"/>
      <c r="E116" s="55" t="n"/>
      <c r="F116" s="55" t="n"/>
      <c r="G116" s="55" t="n"/>
      <c r="H116" s="55" t="n"/>
      <c r="I116" s="55" t="n"/>
    </row>
    <row r="117" ht="15" customHeight="1" s="314">
      <c r="A117" s="55" t="n"/>
      <c r="B117" s="55" t="n"/>
      <c r="C117" s="55" t="n"/>
      <c r="D117" s="55" t="n"/>
      <c r="E117" s="55" t="n"/>
      <c r="F117" s="55" t="n"/>
      <c r="G117" s="55" t="n"/>
      <c r="H117" s="55" t="n"/>
      <c r="I117" s="55" t="n"/>
    </row>
    <row r="118" ht="15" customHeight="1" s="314">
      <c r="A118" s="55" t="n"/>
      <c r="B118" s="55" t="n"/>
      <c r="C118" s="55" t="n"/>
      <c r="D118" s="55" t="n"/>
      <c r="E118" s="55" t="n"/>
      <c r="F118" s="55" t="n"/>
      <c r="G118" s="55" t="n"/>
      <c r="H118" s="55" t="n"/>
      <c r="I118" s="55" t="n"/>
    </row>
    <row r="119" ht="15" customHeight="1" s="314">
      <c r="A119" s="55" t="n"/>
      <c r="B119" s="55" t="n"/>
      <c r="C119" s="55" t="n"/>
      <c r="D119" s="55" t="n"/>
      <c r="E119" s="55" t="n"/>
      <c r="F119" s="55" t="n"/>
      <c r="G119" s="55" t="n"/>
      <c r="H119" s="55" t="n"/>
      <c r="I119" s="55" t="n"/>
    </row>
    <row r="120" ht="15" customHeight="1" s="314">
      <c r="A120" s="55" t="n"/>
      <c r="B120" s="55" t="n"/>
      <c r="C120" s="55" t="n"/>
      <c r="D120" s="55" t="n"/>
      <c r="E120" s="55" t="n"/>
      <c r="F120" s="55" t="n"/>
      <c r="G120" s="55" t="n"/>
      <c r="H120" s="55" t="n"/>
      <c r="I120" s="55" t="n"/>
    </row>
    <row r="121" ht="15" customHeight="1" s="314">
      <c r="A121" s="55" t="n"/>
      <c r="B121" s="55" t="n"/>
      <c r="C121" s="55" t="n"/>
      <c r="D121" s="55" t="n"/>
      <c r="E121" s="55" t="n"/>
      <c r="F121" s="55" t="n"/>
      <c r="G121" s="55" t="n"/>
      <c r="H121" s="55" t="n"/>
      <c r="I121" s="55" t="n"/>
    </row>
    <row r="122" ht="15" customHeight="1" s="314">
      <c r="A122" s="55" t="n"/>
      <c r="B122" s="55" t="n"/>
      <c r="C122" s="55" t="n"/>
      <c r="D122" s="55" t="n"/>
      <c r="E122" s="55" t="n"/>
      <c r="F122" s="55" t="n"/>
      <c r="G122" s="55" t="n"/>
      <c r="H122" s="55" t="n"/>
      <c r="I122" s="55" t="n"/>
    </row>
    <row r="123" ht="15" customHeight="1" s="314">
      <c r="A123" s="55" t="n"/>
      <c r="B123" s="55" t="n"/>
      <c r="C123" s="55" t="n"/>
      <c r="D123" s="55" t="n"/>
      <c r="E123" s="55" t="n"/>
      <c r="F123" s="55" t="n"/>
      <c r="G123" s="55" t="n"/>
      <c r="H123" s="55" t="n"/>
      <c r="I123" s="55" t="n"/>
    </row>
    <row r="124" ht="15" customHeight="1" s="314">
      <c r="A124" s="55" t="n"/>
      <c r="B124" s="55" t="n"/>
      <c r="C124" s="55" t="n"/>
      <c r="D124" s="55" t="n"/>
      <c r="E124" s="55" t="n"/>
      <c r="F124" s="55" t="n"/>
      <c r="G124" s="55" t="n"/>
      <c r="H124" s="55" t="n"/>
      <c r="I124" s="55" t="n"/>
    </row>
    <row r="125" ht="15" customHeight="1" s="314">
      <c r="A125" s="55" t="n"/>
      <c r="B125" s="55" t="n"/>
      <c r="C125" s="55" t="n"/>
      <c r="D125" s="55" t="n"/>
      <c r="E125" s="55" t="n"/>
      <c r="F125" s="55" t="n"/>
      <c r="G125" s="55" t="n"/>
      <c r="H125" s="55" t="n"/>
      <c r="I125" s="55" t="n"/>
    </row>
    <row r="126" ht="15" customHeight="1" s="314">
      <c r="A126" s="55" t="n"/>
      <c r="B126" s="55" t="n"/>
      <c r="C126" s="55" t="n"/>
      <c r="D126" s="55" t="n"/>
      <c r="E126" s="55" t="n"/>
      <c r="F126" s="55" t="n"/>
      <c r="G126" s="55" t="n"/>
      <c r="H126" s="55" t="n"/>
      <c r="I126" s="55" t="n"/>
    </row>
    <row r="127" ht="15" customHeight="1" s="314">
      <c r="A127" s="55" t="n"/>
      <c r="B127" s="55" t="n"/>
      <c r="C127" s="55" t="n"/>
      <c r="D127" s="55" t="n"/>
      <c r="E127" s="55" t="n"/>
      <c r="F127" s="55" t="n"/>
      <c r="G127" s="55" t="n"/>
      <c r="H127" s="55" t="n"/>
      <c r="I127" s="55" t="n"/>
    </row>
    <row r="128" ht="15" customHeight="1" s="314">
      <c r="A128" s="55" t="n"/>
      <c r="B128" s="55" t="n"/>
      <c r="C128" s="55" t="n"/>
      <c r="D128" s="55" t="n"/>
      <c r="E128" s="55" t="n"/>
      <c r="F128" s="55" t="n"/>
      <c r="G128" s="55" t="n"/>
      <c r="H128" s="55" t="n"/>
      <c r="I128" s="55" t="n"/>
    </row>
    <row r="129" ht="15" customHeight="1" s="314">
      <c r="A129" s="55" t="n"/>
      <c r="B129" s="55" t="n"/>
      <c r="C129" s="55" t="n"/>
      <c r="D129" s="55" t="n"/>
      <c r="E129" s="55" t="n"/>
      <c r="F129" s="55" t="n"/>
      <c r="G129" s="55" t="n"/>
      <c r="H129" s="55" t="n"/>
      <c r="I129" s="55" t="n"/>
    </row>
    <row r="130" ht="15" customHeight="1" s="314">
      <c r="A130" s="55" t="n"/>
      <c r="B130" s="55" t="n"/>
      <c r="C130" s="55" t="n"/>
      <c r="D130" s="55" t="n"/>
      <c r="E130" s="55" t="n"/>
      <c r="F130" s="55" t="n"/>
      <c r="G130" s="55" t="n"/>
      <c r="H130" s="55" t="n"/>
      <c r="I130" s="55" t="n"/>
    </row>
    <row r="131" ht="15" customHeight="1" s="314">
      <c r="A131" s="55" t="n"/>
      <c r="B131" s="55" t="n"/>
      <c r="C131" s="55" t="n"/>
      <c r="D131" s="55" t="n"/>
      <c r="E131" s="55" t="n"/>
      <c r="F131" s="55" t="n"/>
      <c r="G131" s="55" t="n"/>
      <c r="H131" s="55" t="n"/>
      <c r="I131" s="55" t="n"/>
    </row>
    <row r="132" ht="15" customHeight="1" s="314">
      <c r="A132" s="55" t="n"/>
      <c r="B132" s="55" t="n"/>
      <c r="C132" s="55" t="n"/>
      <c r="D132" s="55" t="n"/>
      <c r="E132" s="55" t="n"/>
      <c r="F132" s="55" t="n"/>
      <c r="G132" s="55" t="n"/>
      <c r="H132" s="55" t="n"/>
      <c r="I132" s="55" t="n"/>
    </row>
    <row r="133" ht="15" customHeight="1" s="314">
      <c r="A133" s="55" t="n"/>
      <c r="B133" s="55" t="n"/>
      <c r="C133" s="55" t="n"/>
      <c r="D133" s="55" t="n"/>
      <c r="E133" s="55" t="n"/>
      <c r="F133" s="55" t="n"/>
      <c r="G133" s="55" t="n"/>
      <c r="H133" s="55" t="n"/>
      <c r="I133" s="55" t="n"/>
    </row>
    <row r="134" ht="15" customHeight="1" s="314">
      <c r="A134" s="55" t="n"/>
      <c r="B134" s="55" t="n"/>
      <c r="C134" s="55" t="n"/>
      <c r="D134" s="55" t="n"/>
      <c r="E134" s="55" t="n"/>
      <c r="F134" s="55" t="n"/>
      <c r="G134" s="55" t="n"/>
      <c r="H134" s="55" t="n"/>
      <c r="I134" s="55" t="n"/>
    </row>
    <row r="135" ht="15" customHeight="1" s="314">
      <c r="A135" s="55" t="n"/>
      <c r="B135" s="55" t="n"/>
      <c r="C135" s="55" t="n"/>
      <c r="D135" s="55" t="n"/>
      <c r="E135" s="55" t="n"/>
      <c r="F135" s="55" t="n"/>
      <c r="G135" s="55" t="n"/>
      <c r="H135" s="55" t="n"/>
      <c r="I135" s="55" t="n"/>
    </row>
    <row r="136" ht="15" customHeight="1" s="314">
      <c r="A136" s="55" t="n"/>
      <c r="B136" s="55" t="n"/>
      <c r="C136" s="55" t="n"/>
      <c r="D136" s="55" t="n"/>
      <c r="E136" s="55" t="n"/>
      <c r="F136" s="55" t="n"/>
      <c r="G136" s="55" t="n"/>
      <c r="H136" s="55" t="n"/>
      <c r="I136" s="55" t="n"/>
    </row>
    <row r="137" ht="15" customHeight="1" s="314">
      <c r="A137" s="55" t="n"/>
      <c r="B137" s="55" t="n"/>
      <c r="C137" s="55" t="n"/>
      <c r="D137" s="55" t="n"/>
      <c r="E137" s="55" t="n"/>
      <c r="F137" s="55" t="n"/>
      <c r="G137" s="55" t="n"/>
      <c r="H137" s="55" t="n"/>
      <c r="I137" s="55" t="n"/>
    </row>
    <row r="138" ht="15" customHeight="1" s="314">
      <c r="A138" s="55" t="n"/>
      <c r="B138" s="55" t="n"/>
      <c r="C138" s="55" t="n"/>
      <c r="D138" s="55" t="n"/>
      <c r="E138" s="55" t="n"/>
      <c r="F138" s="55" t="n"/>
      <c r="G138" s="55" t="n"/>
      <c r="H138" s="55" t="n"/>
      <c r="I138" s="55" t="n"/>
    </row>
    <row r="139" ht="15" customHeight="1" s="314">
      <c r="A139" s="55" t="n"/>
      <c r="B139" s="55" t="n"/>
      <c r="C139" s="55" t="n"/>
      <c r="D139" s="55" t="n"/>
      <c r="E139" s="55" t="n"/>
      <c r="F139" s="55" t="n"/>
      <c r="G139" s="55" t="n"/>
      <c r="H139" s="55" t="n"/>
      <c r="I139" s="55" t="n"/>
    </row>
    <row r="140" ht="15" customHeight="1" s="314">
      <c r="A140" s="55" t="n"/>
      <c r="B140" s="55" t="n"/>
      <c r="C140" s="55" t="n"/>
      <c r="D140" s="55" t="n"/>
      <c r="E140" s="55" t="n"/>
      <c r="F140" s="55" t="n"/>
      <c r="G140" s="55" t="n"/>
      <c r="H140" s="55" t="n"/>
      <c r="I140" s="55" t="n"/>
    </row>
    <row r="141" ht="15" customHeight="1" s="314">
      <c r="A141" s="55" t="n"/>
      <c r="B141" s="55" t="n"/>
      <c r="C141" s="55" t="n"/>
      <c r="D141" s="55" t="n"/>
      <c r="E141" s="55" t="n"/>
      <c r="F141" s="55" t="n"/>
      <c r="G141" s="55" t="n"/>
      <c r="H141" s="55" t="n"/>
      <c r="I141" s="55" t="n"/>
    </row>
    <row r="142" ht="15" customHeight="1" s="314">
      <c r="A142" s="55" t="n"/>
      <c r="B142" s="55" t="n"/>
      <c r="C142" s="55" t="n"/>
      <c r="D142" s="55" t="n"/>
      <c r="E142" s="55" t="n"/>
      <c r="F142" s="55" t="n"/>
      <c r="G142" s="55" t="n"/>
      <c r="H142" s="55" t="n"/>
      <c r="I142" s="55" t="n"/>
    </row>
    <row r="143" ht="15" customHeight="1" s="314">
      <c r="A143" s="55" t="n"/>
      <c r="B143" s="55" t="n"/>
      <c r="C143" s="55" t="n"/>
      <c r="D143" s="55" t="n"/>
      <c r="E143" s="55" t="n"/>
      <c r="F143" s="55" t="n"/>
      <c r="G143" s="55" t="n"/>
      <c r="H143" s="55" t="n"/>
      <c r="I143" s="55" t="n"/>
    </row>
    <row r="144" ht="15" customHeight="1" s="314">
      <c r="A144" s="55" t="n"/>
      <c r="B144" s="55" t="n"/>
      <c r="C144" s="55" t="n"/>
      <c r="D144" s="55" t="n"/>
      <c r="E144" s="55" t="n"/>
      <c r="F144" s="55" t="n"/>
      <c r="G144" s="55" t="n"/>
      <c r="H144" s="55" t="n"/>
      <c r="I144" s="55" t="n"/>
    </row>
    <row r="145" ht="15" customHeight="1" s="314">
      <c r="A145" s="55" t="n"/>
      <c r="B145" s="55" t="n"/>
      <c r="C145" s="55" t="n"/>
      <c r="D145" s="55" t="n"/>
      <c r="E145" s="55" t="n"/>
      <c r="F145" s="55" t="n"/>
      <c r="G145" s="55" t="n"/>
      <c r="H145" s="55" t="n"/>
      <c r="I145" s="55" t="n"/>
    </row>
    <row r="146" ht="15" customHeight="1" s="314">
      <c r="A146" s="55" t="n"/>
      <c r="B146" s="55" t="n"/>
      <c r="C146" s="55" t="n"/>
      <c r="D146" s="55" t="n"/>
      <c r="E146" s="55" t="n"/>
      <c r="F146" s="55" t="n"/>
      <c r="G146" s="55" t="n"/>
      <c r="H146" s="55" t="n"/>
      <c r="I146" s="55" t="n"/>
    </row>
    <row r="147" ht="15" customHeight="1" s="314">
      <c r="A147" s="55" t="n"/>
      <c r="B147" s="55" t="n"/>
      <c r="C147" s="55" t="n"/>
      <c r="D147" s="55" t="n"/>
      <c r="E147" s="55" t="n"/>
      <c r="F147" s="55" t="n"/>
      <c r="G147" s="55" t="n"/>
      <c r="H147" s="55" t="n"/>
      <c r="I147" s="55" t="n"/>
    </row>
    <row r="148" ht="15" customHeight="1" s="314">
      <c r="A148" s="55" t="n"/>
      <c r="B148" s="55" t="n"/>
      <c r="C148" s="55" t="n"/>
      <c r="D148" s="55" t="n"/>
      <c r="E148" s="55" t="n"/>
      <c r="F148" s="55" t="n"/>
      <c r="G148" s="55" t="n"/>
      <c r="H148" s="55" t="n"/>
      <c r="I148" s="55" t="n"/>
    </row>
    <row r="149" ht="15" customHeight="1" s="314">
      <c r="A149" s="55" t="n"/>
      <c r="B149" s="55" t="n"/>
      <c r="C149" s="55" t="n"/>
      <c r="D149" s="55" t="n"/>
      <c r="E149" s="55" t="n"/>
      <c r="F149" s="55" t="n"/>
      <c r="G149" s="55" t="n"/>
      <c r="H149" s="55" t="n"/>
      <c r="I149" s="55" t="n"/>
    </row>
    <row r="150" ht="15" customHeight="1" s="314">
      <c r="A150" s="55" t="n"/>
      <c r="B150" s="55" t="n"/>
      <c r="C150" s="55" t="n"/>
      <c r="D150" s="55" t="n"/>
      <c r="E150" s="55" t="n"/>
      <c r="F150" s="55" t="n"/>
      <c r="G150" s="55" t="n"/>
      <c r="H150" s="55" t="n"/>
      <c r="I150" s="55" t="n"/>
    </row>
    <row r="151" ht="15" customHeight="1" s="314">
      <c r="A151" s="55" t="n"/>
      <c r="B151" s="55" t="n"/>
      <c r="C151" s="55" t="n"/>
      <c r="D151" s="55" t="n"/>
      <c r="E151" s="55" t="n"/>
      <c r="F151" s="55" t="n"/>
      <c r="G151" s="55" t="n"/>
      <c r="H151" s="55" t="n"/>
      <c r="I151" s="55" t="n"/>
    </row>
    <row r="152" ht="15" customHeight="1" s="314">
      <c r="A152" s="55" t="n"/>
      <c r="B152" s="55" t="n"/>
      <c r="C152" s="55" t="n"/>
      <c r="D152" s="55" t="n"/>
      <c r="E152" s="55" t="n"/>
      <c r="F152" s="55" t="n"/>
      <c r="G152" s="55" t="n"/>
      <c r="H152" s="55" t="n"/>
      <c r="I152" s="55" t="n"/>
    </row>
    <row r="153" ht="15" customHeight="1" s="314">
      <c r="A153" s="55" t="n"/>
      <c r="B153" s="55" t="n"/>
      <c r="C153" s="55" t="n"/>
      <c r="D153" s="55" t="n"/>
      <c r="E153" s="55" t="n"/>
      <c r="F153" s="55" t="n"/>
      <c r="G153" s="55" t="n"/>
      <c r="H153" s="55" t="n"/>
      <c r="I153" s="55" t="n"/>
    </row>
    <row r="154" ht="15" customHeight="1" s="314">
      <c r="A154" s="55" t="n"/>
      <c r="B154" s="55" t="n"/>
      <c r="C154" s="55" t="n"/>
      <c r="D154" s="55" t="n"/>
      <c r="E154" s="55" t="n"/>
      <c r="F154" s="55" t="n"/>
      <c r="G154" s="55" t="n"/>
      <c r="H154" s="55" t="n"/>
      <c r="I154" s="55" t="n"/>
    </row>
    <row r="155" ht="15" customHeight="1" s="314">
      <c r="A155" s="55" t="n"/>
      <c r="B155" s="55" t="n"/>
      <c r="C155" s="55" t="n"/>
      <c r="D155" s="55" t="n"/>
      <c r="E155" s="55" t="n"/>
      <c r="F155" s="55" t="n"/>
      <c r="G155" s="55" t="n"/>
      <c r="H155" s="55" t="n"/>
      <c r="I155" s="55" t="n"/>
    </row>
    <row r="156" ht="15" customHeight="1" s="314">
      <c r="A156" s="55" t="n"/>
      <c r="B156" s="55" t="n"/>
      <c r="C156" s="55" t="n"/>
      <c r="D156" s="55" t="n"/>
      <c r="E156" s="55" t="n"/>
      <c r="F156" s="55" t="n"/>
      <c r="G156" s="55" t="n"/>
      <c r="H156" s="55" t="n"/>
      <c r="I156" s="55" t="n"/>
    </row>
    <row r="157" ht="15" customHeight="1" s="314">
      <c r="A157" s="55" t="n"/>
      <c r="B157" s="55" t="n"/>
      <c r="C157" s="55" t="n"/>
      <c r="D157" s="55" t="n"/>
      <c r="E157" s="55" t="n"/>
      <c r="F157" s="55" t="n"/>
      <c r="G157" s="55" t="n"/>
      <c r="H157" s="55" t="n"/>
      <c r="I157" s="55" t="n"/>
    </row>
    <row r="158" ht="15" customHeight="1" s="314">
      <c r="A158" s="55" t="n"/>
      <c r="B158" s="55" t="n"/>
      <c r="C158" s="55" t="n"/>
      <c r="D158" s="55" t="n"/>
      <c r="E158" s="55" t="n"/>
      <c r="F158" s="55" t="n"/>
      <c r="G158" s="55" t="n"/>
      <c r="H158" s="55" t="n"/>
      <c r="I158" s="55" t="n"/>
    </row>
    <row r="159" ht="15" customHeight="1" s="314">
      <c r="A159" s="55" t="n"/>
      <c r="B159" s="55" t="n"/>
      <c r="C159" s="55" t="n"/>
      <c r="D159" s="55" t="n"/>
      <c r="E159" s="55" t="n"/>
      <c r="F159" s="55" t="n"/>
      <c r="G159" s="55" t="n"/>
      <c r="H159" s="55" t="n"/>
      <c r="I159" s="55" t="n"/>
    </row>
    <row r="160" ht="15" customHeight="1" s="314">
      <c r="A160" s="55" t="n"/>
      <c r="B160" s="55" t="n"/>
      <c r="C160" s="55" t="n"/>
      <c r="D160" s="55" t="n"/>
      <c r="E160" s="55" t="n"/>
      <c r="F160" s="55" t="n"/>
      <c r="G160" s="55" t="n"/>
      <c r="H160" s="55" t="n"/>
      <c r="I160" s="55" t="n"/>
    </row>
    <row r="161" ht="15" customHeight="1" s="314">
      <c r="A161" s="55" t="n"/>
      <c r="B161" s="55" t="n"/>
      <c r="C161" s="55" t="n"/>
      <c r="D161" s="55" t="n"/>
      <c r="E161" s="55" t="n"/>
      <c r="F161" s="55" t="n"/>
      <c r="G161" s="55" t="n"/>
      <c r="H161" s="55" t="n"/>
      <c r="I161" s="55" t="n"/>
    </row>
    <row r="162" ht="15" customHeight="1" s="314">
      <c r="A162" s="55" t="n"/>
      <c r="B162" s="55" t="n"/>
      <c r="C162" s="55" t="n"/>
      <c r="D162" s="55" t="n"/>
      <c r="E162" s="55" t="n"/>
      <c r="F162" s="55" t="n"/>
      <c r="G162" s="55" t="n"/>
      <c r="H162" s="55" t="n"/>
      <c r="I162" s="55" t="n"/>
    </row>
    <row r="163" ht="15" customHeight="1" s="314">
      <c r="A163" s="55" t="n"/>
      <c r="B163" s="55" t="n"/>
      <c r="C163" s="55" t="n"/>
      <c r="D163" s="55" t="n"/>
      <c r="E163" s="55" t="n"/>
      <c r="F163" s="55" t="n"/>
      <c r="G163" s="55" t="n"/>
      <c r="H163" s="55" t="n"/>
      <c r="I163" s="55" t="n"/>
    </row>
    <row r="164" ht="15" customHeight="1" s="314">
      <c r="A164" s="55" t="n"/>
      <c r="B164" s="55" t="n"/>
      <c r="C164" s="55" t="n"/>
      <c r="D164" s="55" t="n"/>
      <c r="E164" s="55" t="n"/>
      <c r="F164" s="55" t="n"/>
      <c r="G164" s="55" t="n"/>
      <c r="H164" s="55" t="n"/>
      <c r="I164" s="55" t="n"/>
    </row>
    <row r="165" ht="15" customHeight="1" s="314">
      <c r="A165" s="55" t="n"/>
      <c r="B165" s="55" t="n"/>
      <c r="C165" s="55" t="n"/>
      <c r="D165" s="55" t="n"/>
      <c r="E165" s="55" t="n"/>
      <c r="F165" s="55" t="n"/>
      <c r="G165" s="55" t="n"/>
      <c r="H165" s="55" t="n"/>
      <c r="I165" s="55" t="n"/>
    </row>
    <row r="166" ht="15" customHeight="1" s="314">
      <c r="A166" s="55" t="n"/>
      <c r="B166" s="55" t="n"/>
      <c r="C166" s="55" t="n"/>
      <c r="D166" s="55" t="n"/>
      <c r="E166" s="55" t="n"/>
      <c r="F166" s="55" t="n"/>
      <c r="G166" s="55" t="n"/>
      <c r="H166" s="55" t="n"/>
      <c r="I166" s="55" t="n"/>
    </row>
    <row r="167" ht="15" customHeight="1" s="314">
      <c r="A167" s="55" t="n"/>
      <c r="B167" s="55" t="n"/>
      <c r="C167" s="55" t="n"/>
      <c r="D167" s="55" t="n"/>
      <c r="E167" s="55" t="n"/>
      <c r="F167" s="55" t="n"/>
      <c r="G167" s="55" t="n"/>
      <c r="H167" s="55" t="n"/>
      <c r="I167" s="55" t="n"/>
    </row>
    <row r="168" ht="15" customHeight="1" s="314">
      <c r="A168" s="55" t="n"/>
      <c r="B168" s="55" t="n"/>
      <c r="C168" s="55" t="n"/>
      <c r="D168" s="55" t="n"/>
      <c r="E168" s="55" t="n"/>
      <c r="F168" s="55" t="n"/>
      <c r="G168" s="55" t="n"/>
      <c r="H168" s="55" t="n"/>
      <c r="I168" s="55" t="n"/>
    </row>
    <row r="169" ht="15" customHeight="1" s="314">
      <c r="A169" s="55" t="n"/>
      <c r="B169" s="55" t="n"/>
      <c r="C169" s="55" t="n"/>
      <c r="D169" s="55" t="n"/>
      <c r="E169" s="55" t="n"/>
      <c r="F169" s="55" t="n"/>
      <c r="G169" s="55" t="n"/>
      <c r="H169" s="55" t="n"/>
      <c r="I169" s="55" t="n"/>
    </row>
    <row r="170" ht="15" customHeight="1" s="314">
      <c r="A170" s="55" t="n"/>
      <c r="B170" s="55" t="n"/>
      <c r="C170" s="55" t="n"/>
      <c r="D170" s="55" t="n"/>
      <c r="E170" s="55" t="n"/>
      <c r="F170" s="55" t="n"/>
      <c r="G170" s="55" t="n"/>
      <c r="H170" s="55" t="n"/>
      <c r="I170" s="55" t="n"/>
    </row>
    <row r="171" ht="15" customHeight="1" s="314">
      <c r="A171" s="55" t="n"/>
      <c r="B171" s="55" t="n"/>
      <c r="C171" s="55" t="n"/>
      <c r="D171" s="55" t="n"/>
      <c r="E171" s="55" t="n"/>
      <c r="F171" s="55" t="n"/>
      <c r="G171" s="55" t="n"/>
      <c r="H171" s="55" t="n"/>
      <c r="I171" s="55" t="n"/>
    </row>
    <row r="172" ht="15" customHeight="1" s="314">
      <c r="A172" s="55" t="n"/>
      <c r="B172" s="55" t="n"/>
      <c r="C172" s="55" t="n"/>
      <c r="D172" s="55" t="n"/>
      <c r="E172" s="55" t="n"/>
      <c r="F172" s="55" t="n"/>
      <c r="G172" s="55" t="n"/>
      <c r="H172" s="55" t="n"/>
      <c r="I172" s="55" t="n"/>
    </row>
    <row r="173" ht="15" customHeight="1" s="314">
      <c r="A173" s="55" t="n"/>
      <c r="B173" s="55" t="n"/>
      <c r="C173" s="55" t="n"/>
      <c r="D173" s="55" t="n"/>
      <c r="E173" s="55" t="n"/>
      <c r="F173" s="55" t="n"/>
      <c r="G173" s="55" t="n"/>
      <c r="H173" s="55" t="n"/>
      <c r="I173" s="55" t="n"/>
    </row>
    <row r="174" ht="15" customHeight="1" s="314">
      <c r="A174" s="55" t="n"/>
      <c r="B174" s="55" t="n"/>
      <c r="C174" s="55" t="n"/>
      <c r="D174" s="55" t="n"/>
      <c r="E174" s="55" t="n"/>
      <c r="F174" s="55" t="n"/>
      <c r="G174" s="55" t="n"/>
      <c r="H174" s="55" t="n"/>
      <c r="I174" s="55" t="n"/>
    </row>
    <row r="175" ht="15" customHeight="1" s="314">
      <c r="A175" s="55" t="n"/>
      <c r="B175" s="55" t="n"/>
      <c r="C175" s="55" t="n"/>
      <c r="D175" s="55" t="n"/>
      <c r="E175" s="55" t="n"/>
      <c r="F175" s="55" t="n"/>
      <c r="G175" s="55" t="n"/>
      <c r="H175" s="55" t="n"/>
      <c r="I175" s="55" t="n"/>
    </row>
    <row r="176" ht="15" customHeight="1" s="314">
      <c r="A176" s="55" t="n"/>
      <c r="B176" s="55" t="n"/>
      <c r="C176" s="55" t="n"/>
      <c r="D176" s="55" t="n"/>
      <c r="E176" s="55" t="n"/>
      <c r="F176" s="55" t="n"/>
      <c r="G176" s="55" t="n"/>
      <c r="H176" s="55" t="n"/>
      <c r="I176" s="55" t="n"/>
    </row>
    <row r="177" ht="15" customHeight="1" s="314">
      <c r="A177" s="55" t="n"/>
      <c r="B177" s="55" t="n"/>
      <c r="C177" s="55" t="n"/>
      <c r="D177" s="55" t="n"/>
      <c r="E177" s="55" t="n"/>
      <c r="F177" s="55" t="n"/>
      <c r="G177" s="55" t="n"/>
      <c r="H177" s="55" t="n"/>
      <c r="I177" s="55" t="n"/>
    </row>
    <row r="178" ht="15" customHeight="1" s="314">
      <c r="A178" s="55" t="n"/>
      <c r="B178" s="55" t="n"/>
      <c r="C178" s="55" t="n"/>
      <c r="D178" s="55" t="n"/>
      <c r="E178" s="55" t="n"/>
      <c r="F178" s="55" t="n"/>
      <c r="G178" s="55" t="n"/>
      <c r="H178" s="55" t="n"/>
      <c r="I178" s="55" t="n"/>
    </row>
    <row r="179" ht="15" customHeight="1" s="314">
      <c r="A179" s="55" t="n"/>
      <c r="B179" s="55" t="n"/>
      <c r="C179" s="55" t="n"/>
      <c r="D179" s="55" t="n"/>
      <c r="E179" s="55" t="n"/>
      <c r="F179" s="55" t="n"/>
      <c r="G179" s="55" t="n"/>
      <c r="H179" s="55" t="n"/>
      <c r="I179" s="55" t="n"/>
    </row>
    <row r="180" ht="15" customHeight="1" s="314">
      <c r="A180" s="55" t="n"/>
      <c r="B180" s="55" t="n"/>
      <c r="C180" s="55" t="n"/>
      <c r="D180" s="55" t="n"/>
      <c r="E180" s="55" t="n"/>
      <c r="F180" s="55" t="n"/>
      <c r="G180" s="55" t="n"/>
      <c r="H180" s="55" t="n"/>
      <c r="I180" s="55" t="n"/>
    </row>
    <row r="181" ht="15" customHeight="1" s="314">
      <c r="A181" s="55" t="n"/>
      <c r="B181" s="55" t="n"/>
      <c r="C181" s="55" t="n"/>
      <c r="D181" s="55" t="n"/>
      <c r="E181" s="55" t="n"/>
      <c r="F181" s="55" t="n"/>
      <c r="G181" s="55" t="n"/>
      <c r="H181" s="55" t="n"/>
      <c r="I181" s="55" t="n"/>
    </row>
    <row r="182" ht="15" customHeight="1" s="314">
      <c r="A182" s="55" t="n"/>
      <c r="B182" s="55" t="n"/>
      <c r="C182" s="55" t="n"/>
      <c r="D182" s="55" t="n"/>
      <c r="E182" s="55" t="n"/>
      <c r="F182" s="55" t="n"/>
      <c r="G182" s="55" t="n"/>
      <c r="H182" s="55" t="n"/>
      <c r="I182" s="55" t="n"/>
    </row>
    <row r="183" ht="15" customHeight="1" s="314">
      <c r="A183" s="55" t="n"/>
      <c r="B183" s="55" t="n"/>
      <c r="C183" s="55" t="n"/>
      <c r="D183" s="55" t="n"/>
      <c r="E183" s="55" t="n"/>
      <c r="F183" s="55" t="n"/>
      <c r="G183" s="55" t="n"/>
      <c r="H183" s="55" t="n"/>
      <c r="I183" s="55" t="n"/>
    </row>
    <row r="184" ht="15" customHeight="1" s="314">
      <c r="A184" s="55" t="n"/>
      <c r="B184" s="55" t="n"/>
      <c r="C184" s="55" t="n"/>
      <c r="D184" s="55" t="n"/>
      <c r="E184" s="55" t="n"/>
      <c r="F184" s="55" t="n"/>
      <c r="G184" s="55" t="n"/>
      <c r="H184" s="55" t="n"/>
      <c r="I184" s="55" t="n"/>
    </row>
    <row r="185" ht="15" customHeight="1" s="314">
      <c r="A185" s="55" t="n"/>
      <c r="B185" s="55" t="n"/>
      <c r="C185" s="55" t="n"/>
      <c r="D185" s="55" t="n"/>
      <c r="E185" s="55" t="n"/>
      <c r="F185" s="55" t="n"/>
      <c r="G185" s="55" t="n"/>
      <c r="H185" s="55" t="n"/>
      <c r="I185" s="55" t="n"/>
    </row>
    <row r="186" ht="15" customHeight="1" s="314">
      <c r="A186" s="55" t="n"/>
      <c r="B186" s="55" t="n"/>
      <c r="C186" s="55" t="n"/>
      <c r="D186" s="55" t="n"/>
      <c r="E186" s="55" t="n"/>
      <c r="F186" s="55" t="n"/>
      <c r="G186" s="55" t="n"/>
      <c r="H186" s="55" t="n"/>
      <c r="I186" s="55" t="n"/>
    </row>
    <row r="187" ht="15" customHeight="1" s="314">
      <c r="A187" s="55" t="n"/>
      <c r="B187" s="55" t="n"/>
      <c r="C187" s="55" t="n"/>
      <c r="D187" s="55" t="n"/>
      <c r="E187" s="55" t="n"/>
      <c r="F187" s="55" t="n"/>
      <c r="G187" s="55" t="n"/>
      <c r="H187" s="55" t="n"/>
      <c r="I187" s="55" t="n"/>
    </row>
    <row r="188" ht="15" customHeight="1" s="314">
      <c r="A188" s="55" t="n"/>
      <c r="B188" s="55" t="n"/>
      <c r="C188" s="55" t="n"/>
      <c r="D188" s="55" t="n"/>
      <c r="E188" s="55" t="n"/>
      <c r="F188" s="55" t="n"/>
      <c r="G188" s="55" t="n"/>
      <c r="H188" s="55" t="n"/>
      <c r="I188" s="55" t="n"/>
    </row>
    <row r="189" ht="15" customHeight="1" s="314">
      <c r="A189" s="55" t="n"/>
      <c r="B189" s="55" t="n"/>
      <c r="C189" s="55" t="n"/>
      <c r="D189" s="55" t="n"/>
      <c r="E189" s="55" t="n"/>
      <c r="F189" s="55" t="n"/>
      <c r="G189" s="55" t="n"/>
      <c r="H189" s="55" t="n"/>
      <c r="I189" s="55" t="n"/>
    </row>
    <row r="190" ht="15" customHeight="1" s="314">
      <c r="A190" s="55" t="n"/>
      <c r="B190" s="55" t="n"/>
      <c r="C190" s="55" t="n"/>
      <c r="D190" s="55" t="n"/>
      <c r="E190" s="55" t="n"/>
      <c r="F190" s="55" t="n"/>
      <c r="G190" s="55" t="n"/>
      <c r="H190" s="55" t="n"/>
      <c r="I190" s="55" t="n"/>
    </row>
    <row r="191" ht="15" customHeight="1" s="314">
      <c r="A191" s="55" t="n"/>
      <c r="B191" s="55" t="n"/>
      <c r="C191" s="55" t="n"/>
      <c r="D191" s="55" t="n"/>
      <c r="E191" s="55" t="n"/>
      <c r="F191" s="55" t="n"/>
      <c r="G191" s="55" t="n"/>
      <c r="H191" s="55" t="n"/>
      <c r="I191" s="55" t="n"/>
    </row>
    <row r="192" ht="15" customHeight="1" s="314">
      <c r="A192" s="55" t="n"/>
      <c r="B192" s="55" t="n"/>
      <c r="C192" s="55" t="n"/>
      <c r="D192" s="55" t="n"/>
      <c r="E192" s="55" t="n"/>
      <c r="F192" s="55" t="n"/>
      <c r="G192" s="55" t="n"/>
      <c r="H192" s="55" t="n"/>
      <c r="I192" s="55" t="n"/>
    </row>
    <row r="193" ht="15" customHeight="1" s="314">
      <c r="A193" s="55" t="n"/>
      <c r="B193" s="55" t="n"/>
      <c r="C193" s="55" t="n"/>
      <c r="D193" s="55" t="n"/>
      <c r="E193" s="55" t="n"/>
      <c r="F193" s="55" t="n"/>
      <c r="G193" s="55" t="n"/>
      <c r="H193" s="55" t="n"/>
      <c r="I193" s="55" t="n"/>
    </row>
    <row r="194" ht="15" customHeight="1" s="314">
      <c r="A194" s="55" t="n"/>
      <c r="B194" s="55" t="n"/>
      <c r="C194" s="55" t="n"/>
      <c r="D194" s="55" t="n"/>
      <c r="E194" s="55" t="n"/>
      <c r="F194" s="55" t="n"/>
      <c r="G194" s="55" t="n"/>
      <c r="H194" s="55" t="n"/>
      <c r="I194" s="55" t="n"/>
    </row>
    <row r="195" ht="15" customHeight="1" s="314">
      <c r="A195" s="55" t="n"/>
      <c r="B195" s="55" t="n"/>
      <c r="C195" s="55" t="n"/>
      <c r="D195" s="55" t="n"/>
      <c r="E195" s="55" t="n"/>
      <c r="F195" s="55" t="n"/>
      <c r="G195" s="55" t="n"/>
      <c r="H195" s="55" t="n"/>
      <c r="I195" s="55" t="n"/>
    </row>
    <row r="196" ht="15" customHeight="1" s="314">
      <c r="A196" s="55" t="n"/>
      <c r="B196" s="55" t="n"/>
      <c r="C196" s="55" t="n"/>
      <c r="D196" s="55" t="n"/>
      <c r="E196" s="55" t="n"/>
      <c r="F196" s="55" t="n"/>
      <c r="G196" s="55" t="n"/>
      <c r="H196" s="55" t="n"/>
      <c r="I196" s="55" t="n"/>
    </row>
    <row r="197" ht="15" customHeight="1" s="314">
      <c r="A197" s="55" t="n"/>
      <c r="B197" s="55" t="n"/>
      <c r="C197" s="55" t="n"/>
      <c r="D197" s="55" t="n"/>
      <c r="E197" s="55" t="n"/>
      <c r="F197" s="55" t="n"/>
      <c r="G197" s="55" t="n"/>
      <c r="H197" s="55" t="n"/>
      <c r="I197" s="55" t="n"/>
    </row>
    <row r="198" ht="15" customHeight="1" s="314">
      <c r="A198" s="55" t="n"/>
      <c r="B198" s="55" t="n"/>
      <c r="C198" s="55" t="n"/>
      <c r="D198" s="55" t="n"/>
      <c r="E198" s="55" t="n"/>
      <c r="F198" s="55" t="n"/>
      <c r="G198" s="55" t="n"/>
      <c r="H198" s="55" t="n"/>
      <c r="I198" s="55" t="n"/>
    </row>
    <row r="199" ht="15" customHeight="1" s="314">
      <c r="A199" s="55" t="n"/>
      <c r="B199" s="55" t="n"/>
      <c r="C199" s="55" t="n"/>
      <c r="D199" s="55" t="n"/>
      <c r="E199" s="55" t="n"/>
      <c r="F199" s="55" t="n"/>
      <c r="G199" s="55" t="n"/>
      <c r="H199" s="55" t="n"/>
      <c r="I199" s="55" t="n"/>
    </row>
  </sheetData>
  <autoFilter ref="A4:I199"/>
  <mergeCells count="3">
    <mergeCell ref="A1:I1"/>
    <mergeCell ref="A96:B96"/>
    <mergeCell ref="A2:I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2E6B36"/>
    <outlinePr summaryBelow="1" summaryRight="1"/>
    <pageSetUpPr/>
  </sheetPr>
  <dimension ref="A1:I99"/>
  <sheetViews>
    <sheetView showGridLines="0" zoomScaleNormal="100" workbookViewId="0">
      <pane ySplit="4" topLeftCell="A5" activePane="bottomLeft" state="frozen"/>
      <selection pane="bottomLeft" activeCell="A1" sqref="A1:I1"/>
    </sheetView>
  </sheetViews>
  <sheetFormatPr baseColWidth="8" defaultColWidth="8.7109375" defaultRowHeight="15"/>
  <cols>
    <col width="26" customWidth="1" style="314" min="1" max="1"/>
    <col width="14" customWidth="1" style="314" min="2" max="2"/>
    <col width="18" customWidth="1" style="314" min="3" max="9"/>
  </cols>
  <sheetData>
    <row r="1" ht="42" customHeight="1" s="314">
      <c r="A1" s="286" t="inlineStr">
        <is>
          <t>📆  LAPORAN MINGGUAN</t>
        </is>
      </c>
    </row>
    <row r="2" ht="19.5" customHeight="1" s="314">
      <c r="A2" s="287" t="inlineStr">
        <is>
          <t>Rekap mingguan — April s/d Juni 2026  ·  Data otomatis dari sheet Data Pasien</t>
        </is>
      </c>
    </row>
    <row r="3" ht="7.5" customHeight="1" s="314"/>
    <row r="4" ht="42" customHeight="1" s="314">
      <c r="A4" s="180" t="inlineStr">
        <is>
          <t>Periode</t>
        </is>
      </c>
      <c r="B4" s="180" t="inlineStr">
        <is>
          <t>Jml
Pasien</t>
        </is>
      </c>
      <c r="C4" s="166" t="inlineStr">
        <is>
          <t>Dokter
Cash (Rp)</t>
        </is>
      </c>
      <c r="D4" s="167" t="inlineStr">
        <is>
          <t>Dokter
Transfer (Rp)</t>
        </is>
      </c>
      <c r="E4" s="180" t="inlineStr">
        <is>
          <t>Total Dokter (Rp)</t>
        </is>
      </c>
      <c r="F4" s="166" t="inlineStr">
        <is>
          <t>Obat Cash
(Ambil, Rp)</t>
        </is>
      </c>
      <c r="G4" s="167" t="inlineStr">
        <is>
          <t>Obat Transfer
(Ambil, Rp)</t>
        </is>
      </c>
      <c r="H4" s="180" t="inlineStr">
        <is>
          <t>Total Obat
(Ambil, Rp)</t>
        </is>
      </c>
      <c r="I4" s="34" t="inlineStr">
        <is>
          <t>Grand Total (Rp)</t>
        </is>
      </c>
    </row>
    <row r="5" ht="21.75" customHeight="1" s="314">
      <c r="A5" s="168" t="inlineStr">
        <is>
          <t>01 Apr – 05 Apr 2026</t>
        </is>
      </c>
      <c r="B5" s="169">
        <f>COUNTA('📋 Data Pasien'!C7:C50)</f>
        <v/>
      </c>
      <c r="C5" s="170">
        <f>SUMIF('📋 Data Pasien'!E7:E50,"Cash",'📋 Data Pasien'!D7:D50)</f>
        <v/>
      </c>
      <c r="D5" s="171">
        <f>SUMIF('📋 Data Pasien'!E7:E50,"Transfer Bank",'📋 Data Pasien'!D7:D50)</f>
        <v/>
      </c>
      <c r="E5" s="172">
        <f>SUMIF('📋 Data Pasien'!C7:C50,"&lt;&gt;",'📋 Data Pasien'!D7:D50)</f>
        <v/>
      </c>
      <c r="F5" s="170">
        <f>SUMIFS('📋 Data Pasien'!G7:G50,'📋 Data Pasien'!H7:H50,"Cash",'📋 Data Pasien'!F7:F50,"Ambil Obat")</f>
        <v/>
      </c>
      <c r="G5" s="171">
        <f>SUMIFS('📋 Data Pasien'!G7:G50,'📋 Data Pasien'!H7:H50,"Transfer Bank",'📋 Data Pasien'!F7:F50,"Ambil Obat")</f>
        <v/>
      </c>
      <c r="H5" s="172">
        <f>SUMIF('📋 Data Pasien'!F7:F50,"Ambil Obat",'📋 Data Pasien'!G7:G50)</f>
        <v/>
      </c>
      <c r="I5" s="173">
        <f>IF(E5=0,"",E5+H5)</f>
        <v/>
      </c>
    </row>
    <row r="6" ht="21.75" customHeight="1" s="314">
      <c r="A6" s="181" t="inlineStr">
        <is>
          <t>06 Apr – 12 Apr 2026</t>
        </is>
      </c>
      <c r="B6" s="182">
        <f>COUNTA('📋 Data Pasien'!C53:C71)</f>
        <v/>
      </c>
      <c r="C6" s="170">
        <f>SUMIF('📋 Data Pasien'!E53:E71,"Cash",'📋 Data Pasien'!D53:D71)</f>
        <v/>
      </c>
      <c r="D6" s="171">
        <f>SUMIF('📋 Data Pasien'!E53:E71,"Transfer Bank",'📋 Data Pasien'!D53:D71)</f>
        <v/>
      </c>
      <c r="E6" s="183">
        <f>SUMIF('📋 Data Pasien'!C53:C71,"&lt;&gt;",'📋 Data Pasien'!D53:D71)</f>
        <v/>
      </c>
      <c r="F6" s="170">
        <f>SUMIFS('📋 Data Pasien'!G53:G71,'📋 Data Pasien'!H53:H71,"Cash",'📋 Data Pasien'!F53:F71,"Ambil Obat")</f>
        <v/>
      </c>
      <c r="G6" s="171">
        <f>SUMIFS('📋 Data Pasien'!G53:G71,'📋 Data Pasien'!H53:H71,"Transfer Bank",'📋 Data Pasien'!F53:F71,"Ambil Obat")</f>
        <v/>
      </c>
      <c r="H6" s="183">
        <f>SUMIF('📋 Data Pasien'!F53:F71,"Ambil Obat",'📋 Data Pasien'!G53:G71)</f>
        <v/>
      </c>
      <c r="I6" s="173">
        <f>IF(E6=0,"",E6+H6)</f>
        <v/>
      </c>
    </row>
    <row r="7" ht="21.75" customHeight="1" s="314">
      <c r="A7" s="168" t="inlineStr">
        <is>
          <t>13 Apr – 19 Apr 2026</t>
        </is>
      </c>
      <c r="B7" s="169">
        <f>COUNTA('📋 Data Pasien'!C74:C92)</f>
        <v/>
      </c>
      <c r="C7" s="170">
        <f>SUMIF('📋 Data Pasien'!E74:E92,"Cash",'📋 Data Pasien'!D74:D92)</f>
        <v/>
      </c>
      <c r="D7" s="171">
        <f>SUMIF('📋 Data Pasien'!E74:E92,"Transfer Bank",'📋 Data Pasien'!D74:D92)</f>
        <v/>
      </c>
      <c r="E7" s="172">
        <f>SUMIF('📋 Data Pasien'!C74:C92,"&lt;&gt;",'📋 Data Pasien'!D74:D92)</f>
        <v/>
      </c>
      <c r="F7" s="170">
        <f>SUMIFS('📋 Data Pasien'!G74:G92,'📋 Data Pasien'!H74:H92,"Cash",'📋 Data Pasien'!F74:F92,"Ambil Obat")</f>
        <v/>
      </c>
      <c r="G7" s="171">
        <f>SUMIFS('📋 Data Pasien'!G74:G92,'📋 Data Pasien'!H74:H92,"Transfer Bank",'📋 Data Pasien'!F74:F92,"Ambil Obat")</f>
        <v/>
      </c>
      <c r="H7" s="172">
        <f>SUMIF('📋 Data Pasien'!F74:F92,"Ambil Obat",'📋 Data Pasien'!G74:G92)</f>
        <v/>
      </c>
      <c r="I7" s="173">
        <f>IF(E7=0,"",E7+H7)</f>
        <v/>
      </c>
    </row>
    <row r="8" ht="21.75" customHeight="1" s="314">
      <c r="A8" s="181" t="inlineStr">
        <is>
          <t>20 Apr – 26 Apr 2026</t>
        </is>
      </c>
      <c r="B8" s="182">
        <f>COUNTA('📋 Data Pasien'!C95:C113)</f>
        <v/>
      </c>
      <c r="C8" s="170">
        <f>SUMIF('📋 Data Pasien'!E95:E113,"Cash",'📋 Data Pasien'!D95:D113)</f>
        <v/>
      </c>
      <c r="D8" s="171">
        <f>SUMIF('📋 Data Pasien'!E95:E113,"Transfer Bank",'📋 Data Pasien'!D95:D113)</f>
        <v/>
      </c>
      <c r="E8" s="183">
        <f>SUMIF('📋 Data Pasien'!C95:C113,"&lt;&gt;",'📋 Data Pasien'!D95:D113)</f>
        <v/>
      </c>
      <c r="F8" s="170">
        <f>SUMIFS('📋 Data Pasien'!G95:G113,'📋 Data Pasien'!H95:H113,"Cash",'📋 Data Pasien'!F95:F113,"Ambil Obat")</f>
        <v/>
      </c>
      <c r="G8" s="171">
        <f>SUMIFS('📋 Data Pasien'!G95:G113,'📋 Data Pasien'!H95:H113,"Transfer Bank",'📋 Data Pasien'!F95:F113,"Ambil Obat")</f>
        <v/>
      </c>
      <c r="H8" s="183">
        <f>SUMIF('📋 Data Pasien'!F95:F113,"Ambil Obat",'📋 Data Pasien'!G95:G113)</f>
        <v/>
      </c>
      <c r="I8" s="173">
        <f>IF(E8=0,"",E8+H8)</f>
        <v/>
      </c>
    </row>
    <row r="9" ht="21.75" customHeight="1" s="314">
      <c r="A9" s="168" t="inlineStr">
        <is>
          <t>27 Apr – 03 May 2026</t>
        </is>
      </c>
      <c r="B9" s="169">
        <f>COUNTA('📋 Data Pasien'!C116:C150)</f>
        <v/>
      </c>
      <c r="C9" s="170">
        <f>SUMIF('📋 Data Pasien'!E116:E150,"Cash",'📋 Data Pasien'!D116:D150)</f>
        <v/>
      </c>
      <c r="D9" s="171">
        <f>SUMIF('📋 Data Pasien'!E116:E150,"Transfer Bank",'📋 Data Pasien'!D116:D150)</f>
        <v/>
      </c>
      <c r="E9" s="172">
        <f>SUMIF('📋 Data Pasien'!C116:C150,"&lt;&gt;",'📋 Data Pasien'!D116:D150)</f>
        <v/>
      </c>
      <c r="F9" s="170">
        <f>SUMIFS('📋 Data Pasien'!G116:G150,'📋 Data Pasien'!H116:H150,"Cash",'📋 Data Pasien'!F116:F150,"Ambil Obat")</f>
        <v/>
      </c>
      <c r="G9" s="171">
        <f>SUMIFS('📋 Data Pasien'!G116:G150,'📋 Data Pasien'!H116:H150,"Transfer Bank",'📋 Data Pasien'!F116:F150,"Ambil Obat")</f>
        <v/>
      </c>
      <c r="H9" s="172">
        <f>SUMIF('📋 Data Pasien'!F116:F150,"Ambil Obat",'📋 Data Pasien'!G116:G150)</f>
        <v/>
      </c>
      <c r="I9" s="173">
        <f>IF(E9=0,"",E9+H9)</f>
        <v/>
      </c>
    </row>
    <row r="10" ht="21.75" customHeight="1" s="314">
      <c r="A10" s="181" t="inlineStr">
        <is>
          <t>04 May – 10 May 2026</t>
        </is>
      </c>
      <c r="B10" s="182">
        <f>COUNTA('📋 Data Pasien'!C153:C254)</f>
        <v/>
      </c>
      <c r="C10" s="170">
        <f>SUMIF('📋 Data Pasien'!E153:E254,"Cash",'📋 Data Pasien'!D153:D254)</f>
        <v/>
      </c>
      <c r="D10" s="171">
        <f>SUMIF('📋 Data Pasien'!E153:E254,"Transfer Bank",'📋 Data Pasien'!D153:D254)</f>
        <v/>
      </c>
      <c r="E10" s="183">
        <f>SUMIF('📋 Data Pasien'!C153:C254,"&lt;&gt;",'📋 Data Pasien'!D153:D254)</f>
        <v/>
      </c>
      <c r="F10" s="170">
        <f>SUMIFS('📋 Data Pasien'!G153:G254,'📋 Data Pasien'!H153:H254,"Cash",'📋 Data Pasien'!F153:F254,"Ambil Obat")</f>
        <v/>
      </c>
      <c r="G10" s="171">
        <f>SUMIFS('📋 Data Pasien'!G153:G254,'📋 Data Pasien'!H153:H254,"Transfer Bank",'📋 Data Pasien'!F153:F254,"Ambil Obat")</f>
        <v/>
      </c>
      <c r="H10" s="183">
        <f>SUMIF('📋 Data Pasien'!F153:F254,"Ambil Obat",'📋 Data Pasien'!G153:G254)</f>
        <v/>
      </c>
      <c r="I10" s="173">
        <f>IF(E10=0,"",E10+H10)</f>
        <v/>
      </c>
    </row>
    <row r="11" ht="21.75" customHeight="1" s="314">
      <c r="A11" s="168" t="inlineStr">
        <is>
          <t>11 May – 17 May 2026</t>
        </is>
      </c>
      <c r="B11" s="169">
        <f>COUNTA('📋 Data Pasien'!C257:C349)</f>
        <v/>
      </c>
      <c r="C11" s="170">
        <f>SUMIF('📋 Data Pasien'!E257:E349,"Cash",'📋 Data Pasien'!D257:D349)</f>
        <v/>
      </c>
      <c r="D11" s="171">
        <f>SUMIF('📋 Data Pasien'!E257:E349,"Transfer Bank",'📋 Data Pasien'!D257:D349)</f>
        <v/>
      </c>
      <c r="E11" s="172">
        <f>SUMIF('📋 Data Pasien'!C257:C349,"&lt;&gt;",'📋 Data Pasien'!D257:D349)</f>
        <v/>
      </c>
      <c r="F11" s="170">
        <f>SUMIFS('📋 Data Pasien'!G257:G349,'📋 Data Pasien'!H257:H349,"Cash",'📋 Data Pasien'!F257:F349,"Ambil Obat")</f>
        <v/>
      </c>
      <c r="G11" s="171">
        <f>SUMIFS('📋 Data Pasien'!G257:G349,'📋 Data Pasien'!H257:H349,"Transfer Bank",'📋 Data Pasien'!F257:F349,"Ambil Obat")</f>
        <v/>
      </c>
      <c r="H11" s="172">
        <f>SUMIF('📋 Data Pasien'!F257:F349,"Ambil Obat",'📋 Data Pasien'!G257:G349)</f>
        <v/>
      </c>
      <c r="I11" s="173">
        <f>IF(E11=0,"",E11+H11)</f>
        <v/>
      </c>
    </row>
    <row r="12" ht="21.75" customHeight="1" s="314">
      <c r="A12" s="181" t="inlineStr">
        <is>
          <t>18 May – 24 May 2026</t>
        </is>
      </c>
      <c r="B12" s="182">
        <f>COUNTA('📋 Data Pasien'!C352:C468)</f>
        <v/>
      </c>
      <c r="C12" s="170">
        <f>SUMIF('📋 Data Pasien'!E352:E468,"Cash",'📋 Data Pasien'!D352:D468)</f>
        <v/>
      </c>
      <c r="D12" s="171">
        <f>SUMIF('📋 Data Pasien'!E352:E468,"Transfer Bank",'📋 Data Pasien'!D352:D468)</f>
        <v/>
      </c>
      <c r="E12" s="183">
        <f>SUMIF('📋 Data Pasien'!C352:C468,"&lt;&gt;",'📋 Data Pasien'!D352:D468)</f>
        <v/>
      </c>
      <c r="F12" s="170">
        <f>SUMIFS('📋 Data Pasien'!G352:G468,'📋 Data Pasien'!H352:H468,"Cash",'📋 Data Pasien'!F352:F468,"Ambil Obat")</f>
        <v/>
      </c>
      <c r="G12" s="171">
        <f>SUMIFS('📋 Data Pasien'!G352:G468,'📋 Data Pasien'!H352:H468,"Transfer Bank",'📋 Data Pasien'!F352:F468,"Ambil Obat")</f>
        <v/>
      </c>
      <c r="H12" s="183">
        <f>SUMIF('📋 Data Pasien'!F352:F468,"Ambil Obat",'📋 Data Pasien'!G352:G468)</f>
        <v/>
      </c>
      <c r="I12" s="173">
        <f>IF(E12=0,"",E12+H12)</f>
        <v/>
      </c>
    </row>
    <row r="13" ht="21.75" customHeight="1" s="314">
      <c r="A13" s="168" t="inlineStr">
        <is>
          <t>25 May – 31 May 2026</t>
        </is>
      </c>
      <c r="B13" s="169">
        <f>COUNTA('📋 Data Pasien'!C471:C587)</f>
        <v/>
      </c>
      <c r="C13" s="170">
        <f>SUMIF('📋 Data Pasien'!E471:E587,"Cash",'📋 Data Pasien'!D471:D587)</f>
        <v/>
      </c>
      <c r="D13" s="171">
        <f>SUMIF('📋 Data Pasien'!E471:E587,"Transfer Bank",'📋 Data Pasien'!D471:D587)</f>
        <v/>
      </c>
      <c r="E13" s="172">
        <f>SUMIF('📋 Data Pasien'!C471:C587,"&lt;&gt;",'📋 Data Pasien'!D471:D587)</f>
        <v/>
      </c>
      <c r="F13" s="170">
        <f>SUMIFS('📋 Data Pasien'!G471:G587,'📋 Data Pasien'!H471:H587,"Cash",'📋 Data Pasien'!F471:F587,"Ambil Obat")</f>
        <v/>
      </c>
      <c r="G13" s="171">
        <f>SUMIFS('📋 Data Pasien'!G471:G587,'📋 Data Pasien'!H471:H587,"Transfer Bank",'📋 Data Pasien'!F471:F587,"Ambil Obat")</f>
        <v/>
      </c>
      <c r="H13" s="172">
        <f>SUMIF('📋 Data Pasien'!F471:F587,"Ambil Obat",'📋 Data Pasien'!G471:G587)</f>
        <v/>
      </c>
      <c r="I13" s="173">
        <f>IF(E13=0,"",E13+H13)</f>
        <v/>
      </c>
    </row>
    <row r="14" ht="21.75" customHeight="1" s="314">
      <c r="A14" s="181" t="inlineStr">
        <is>
          <t>01 Jun – 07 Jun 2026</t>
        </is>
      </c>
      <c r="B14" s="182">
        <f>COUNTA('📋 Data Pasien'!C590:C706)</f>
        <v/>
      </c>
      <c r="C14" s="170">
        <f>SUMIF('📋 Data Pasien'!E590:E706,"Cash",'📋 Data Pasien'!D590:D706)</f>
        <v/>
      </c>
      <c r="D14" s="171">
        <f>SUMIF('📋 Data Pasien'!E590:E706,"Transfer Bank",'📋 Data Pasien'!D590:D706)</f>
        <v/>
      </c>
      <c r="E14" s="183">
        <f>SUMIF('📋 Data Pasien'!C590:C706,"&lt;&gt;",'📋 Data Pasien'!D590:D706)</f>
        <v/>
      </c>
      <c r="F14" s="170">
        <f>SUMIFS('📋 Data Pasien'!G590:G706,'📋 Data Pasien'!H590:H706,"Cash",'📋 Data Pasien'!F590:F706,"Ambil Obat")</f>
        <v/>
      </c>
      <c r="G14" s="171">
        <f>SUMIFS('📋 Data Pasien'!G590:G706,'📋 Data Pasien'!H590:H706,"Transfer Bank",'📋 Data Pasien'!F590:F706,"Ambil Obat")</f>
        <v/>
      </c>
      <c r="H14" s="183">
        <f>SUMIF('📋 Data Pasien'!F590:F706,"Ambil Obat",'📋 Data Pasien'!G590:G706)</f>
        <v/>
      </c>
      <c r="I14" s="173">
        <f>IF(E14=0,"",E14+H14)</f>
        <v/>
      </c>
    </row>
    <row r="15" ht="21.75" customHeight="1" s="314">
      <c r="A15" s="168" t="inlineStr">
        <is>
          <t>08 Jun – 14 Jun 2026</t>
        </is>
      </c>
      <c r="B15" s="169">
        <f>COUNTA('📋 Data Pasien'!C709:C825)</f>
        <v/>
      </c>
      <c r="C15" s="170">
        <f>SUMIF('📋 Data Pasien'!E709:E825,"Cash",'📋 Data Pasien'!D709:D825)</f>
        <v/>
      </c>
      <c r="D15" s="171">
        <f>SUMIF('📋 Data Pasien'!E709:E825,"Transfer Bank",'📋 Data Pasien'!D709:D825)</f>
        <v/>
      </c>
      <c r="E15" s="172">
        <f>SUMIF('📋 Data Pasien'!C709:C825,"&lt;&gt;",'📋 Data Pasien'!D709:D825)</f>
        <v/>
      </c>
      <c r="F15" s="170">
        <f>SUMIFS('📋 Data Pasien'!G709:G825,'📋 Data Pasien'!H709:H825,"Cash",'📋 Data Pasien'!F709:F825,"Ambil Obat")</f>
        <v/>
      </c>
      <c r="G15" s="171">
        <f>SUMIFS('📋 Data Pasien'!G709:G825,'📋 Data Pasien'!H709:H825,"Transfer Bank",'📋 Data Pasien'!F709:F825,"Ambil Obat")</f>
        <v/>
      </c>
      <c r="H15" s="172">
        <f>SUMIF('📋 Data Pasien'!F709:F825,"Ambil Obat",'📋 Data Pasien'!G709:G825)</f>
        <v/>
      </c>
      <c r="I15" s="173">
        <f>IF(E15=0,"",E15+H15)</f>
        <v/>
      </c>
    </row>
    <row r="16" ht="21.75" customHeight="1" s="314">
      <c r="A16" s="181" t="inlineStr">
        <is>
          <t>15 Jun – 21 Jun 2026</t>
        </is>
      </c>
      <c r="B16" s="182">
        <f>COUNTA('📋 Data Pasien'!C828:C944)</f>
        <v/>
      </c>
      <c r="C16" s="170">
        <f>SUMIF('📋 Data Pasien'!E828:E944,"Cash",'📋 Data Pasien'!D828:D944)</f>
        <v/>
      </c>
      <c r="D16" s="171">
        <f>SUMIF('📋 Data Pasien'!E828:E944,"Transfer Bank",'📋 Data Pasien'!D828:D944)</f>
        <v/>
      </c>
      <c r="E16" s="183">
        <f>SUMIF('📋 Data Pasien'!C828:C944,"&lt;&gt;",'📋 Data Pasien'!D828:D944)</f>
        <v/>
      </c>
      <c r="F16" s="170">
        <f>SUMIFS('📋 Data Pasien'!G828:G944,'📋 Data Pasien'!H828:H944,"Cash",'📋 Data Pasien'!F828:F944,"Ambil Obat")</f>
        <v/>
      </c>
      <c r="G16" s="171">
        <f>SUMIFS('📋 Data Pasien'!G828:G944,'📋 Data Pasien'!H828:H944,"Transfer Bank",'📋 Data Pasien'!F828:F944,"Ambil Obat")</f>
        <v/>
      </c>
      <c r="H16" s="183">
        <f>SUMIF('📋 Data Pasien'!F828:F944,"Ambil Obat",'📋 Data Pasien'!G828:G944)</f>
        <v/>
      </c>
      <c r="I16" s="173">
        <f>IF(E16=0,"",E16+H16)</f>
        <v/>
      </c>
    </row>
    <row r="17" ht="21.75" customHeight="1" s="314">
      <c r="A17" s="168" t="inlineStr">
        <is>
          <t>22 Jun – 28 Jun 2026</t>
        </is>
      </c>
      <c r="B17" s="169">
        <f>COUNTA('📋 Data Pasien'!C947:C1063)</f>
        <v/>
      </c>
      <c r="C17" s="170">
        <f>SUMIF('📋 Data Pasien'!E947:E1063,"Cash",'📋 Data Pasien'!D947:D1063)</f>
        <v/>
      </c>
      <c r="D17" s="171">
        <f>SUMIF('📋 Data Pasien'!E947:E1063,"Transfer Bank",'📋 Data Pasien'!D947:D1063)</f>
        <v/>
      </c>
      <c r="E17" s="172">
        <f>SUMIF('📋 Data Pasien'!C947:C1063,"&lt;&gt;",'📋 Data Pasien'!D947:D1063)</f>
        <v/>
      </c>
      <c r="F17" s="170">
        <f>SUMIFS('📋 Data Pasien'!G947:G1063,'📋 Data Pasien'!H947:H1063,"Cash",'📋 Data Pasien'!F947:F1063,"Ambil Obat")</f>
        <v/>
      </c>
      <c r="G17" s="171">
        <f>SUMIFS('📋 Data Pasien'!G947:G1063,'📋 Data Pasien'!H947:H1063,"Transfer Bank",'📋 Data Pasien'!F947:F1063,"Ambil Obat")</f>
        <v/>
      </c>
      <c r="H17" s="172">
        <f>SUMIF('📋 Data Pasien'!F947:F1063,"Ambil Obat",'📋 Data Pasien'!G947:G1063)</f>
        <v/>
      </c>
      <c r="I17" s="173">
        <f>IF(E17=0,"",E17+H17)</f>
        <v/>
      </c>
    </row>
    <row r="18" ht="21.75" customHeight="1" s="314">
      <c r="A18" s="181" t="inlineStr">
        <is>
          <t>29 Jun – 30 Jun 2026</t>
        </is>
      </c>
      <c r="B18" s="182">
        <f>COUNTA('📋 Data Pasien'!C1066:C1097)</f>
        <v/>
      </c>
      <c r="C18" s="170">
        <f>SUMIF('📋 Data Pasien'!E1066:E1097,"Cash",'📋 Data Pasien'!D1066:D1097)</f>
        <v/>
      </c>
      <c r="D18" s="171">
        <f>SUMIF('📋 Data Pasien'!E1066:E1097,"Transfer Bank",'📋 Data Pasien'!D1066:D1097)</f>
        <v/>
      </c>
      <c r="E18" s="183">
        <f>SUMIF('📋 Data Pasien'!C1066:C1097,"&lt;&gt;",'📋 Data Pasien'!D1066:D1097)</f>
        <v/>
      </c>
      <c r="F18" s="170">
        <f>SUMIFS('📋 Data Pasien'!G1066:G1097,'📋 Data Pasien'!H1066:H1097,"Cash",'📋 Data Pasien'!F1066:F1097,"Ambil Obat")</f>
        <v/>
      </c>
      <c r="G18" s="171">
        <f>SUMIFS('📋 Data Pasien'!G1066:G1097,'📋 Data Pasien'!H1066:H1097,"Transfer Bank",'📋 Data Pasien'!F1066:F1097,"Ambil Obat")</f>
        <v/>
      </c>
      <c r="H18" s="183">
        <f>SUMIF('📋 Data Pasien'!F1066:F1097,"Ambil Obat",'📋 Data Pasien'!G1066:G1097)</f>
        <v/>
      </c>
      <c r="I18" s="173">
        <f>IF(E18=0,"",E18+H18)</f>
        <v/>
      </c>
    </row>
    <row r="19" ht="27.75" customHeight="1" s="314">
      <c r="A19" s="288" t="inlineStr">
        <is>
          <t>TOTAL</t>
        </is>
      </c>
      <c r="B19" s="323" t="n"/>
      <c r="C19" s="184">
        <f>SUM(C5:C18)</f>
        <v/>
      </c>
      <c r="D19" s="184">
        <f>SUM(D5:D18)</f>
        <v/>
      </c>
      <c r="E19" s="184">
        <f>SUM(E5:E18)</f>
        <v/>
      </c>
      <c r="F19" s="184">
        <f>SUM(F5:F18)</f>
        <v/>
      </c>
      <c r="G19" s="184">
        <f>SUM(G5:G18)</f>
        <v/>
      </c>
      <c r="H19" s="184">
        <f>SUM(H5:H18)</f>
        <v/>
      </c>
      <c r="I19" s="184">
        <f>SUM(I5:I18)</f>
        <v/>
      </c>
    </row>
    <row r="20" ht="21.75" customHeight="1" s="314">
      <c r="A20" s="55" t="n"/>
      <c r="B20" s="55" t="n"/>
      <c r="C20" s="55" t="n"/>
      <c r="D20" s="55" t="n"/>
      <c r="E20" s="55" t="n"/>
      <c r="F20" s="55" t="n"/>
      <c r="G20" s="55" t="n"/>
      <c r="H20" s="55" t="n"/>
      <c r="I20" s="55" t="n"/>
    </row>
    <row r="21" ht="21.75" customHeight="1" s="314">
      <c r="A21" s="55" t="n"/>
      <c r="B21" s="55" t="n"/>
      <c r="C21" s="55" t="n"/>
      <c r="D21" s="55" t="n"/>
      <c r="E21" s="55" t="n"/>
      <c r="F21" s="55" t="n"/>
      <c r="G21" s="55" t="n"/>
      <c r="H21" s="55" t="n"/>
      <c r="I21" s="55" t="n"/>
    </row>
    <row r="22" ht="21.75" customHeight="1" s="314">
      <c r="A22" s="55" t="n"/>
      <c r="B22" s="55" t="n"/>
      <c r="C22" s="55" t="n"/>
      <c r="D22" s="55" t="n"/>
      <c r="E22" s="55" t="n"/>
      <c r="F22" s="55" t="n"/>
      <c r="G22" s="55" t="n"/>
      <c r="H22" s="55" t="n"/>
      <c r="I22" s="55" t="n"/>
    </row>
    <row r="23" ht="21.75" customHeight="1" s="314">
      <c r="A23" s="55" t="n"/>
      <c r="B23" s="55" t="n"/>
      <c r="C23" s="55" t="n"/>
      <c r="D23" s="55" t="n"/>
      <c r="E23" s="55" t="n"/>
      <c r="F23" s="55" t="n"/>
      <c r="G23" s="55" t="n"/>
      <c r="H23" s="55" t="n"/>
      <c r="I23" s="55" t="n"/>
    </row>
    <row r="24" ht="21.75" customHeight="1" s="314">
      <c r="A24" s="55" t="n"/>
      <c r="B24" s="55" t="n"/>
      <c r="C24" s="55" t="n"/>
      <c r="D24" s="55" t="n"/>
      <c r="E24" s="55" t="n"/>
      <c r="F24" s="55" t="n"/>
      <c r="G24" s="55" t="n"/>
      <c r="H24" s="55" t="n"/>
      <c r="I24" s="55" t="n"/>
    </row>
    <row r="25" ht="21.75" customHeight="1" s="314">
      <c r="A25" s="55" t="n"/>
      <c r="B25" s="55" t="n"/>
      <c r="C25" s="55" t="n"/>
      <c r="D25" s="55" t="n"/>
      <c r="E25" s="55" t="n"/>
      <c r="F25" s="55" t="n"/>
      <c r="G25" s="55" t="n"/>
      <c r="H25" s="55" t="n"/>
      <c r="I25" s="55" t="n"/>
    </row>
    <row r="26" ht="21.75" customHeight="1" s="314">
      <c r="A26" s="55" t="n"/>
      <c r="B26" s="55" t="n"/>
      <c r="C26" s="55" t="n"/>
      <c r="D26" s="55" t="n"/>
      <c r="E26" s="55" t="n"/>
      <c r="F26" s="55" t="n"/>
      <c r="G26" s="55" t="n"/>
      <c r="H26" s="55" t="n"/>
      <c r="I26" s="55" t="n"/>
    </row>
    <row r="27" ht="21.75" customHeight="1" s="314">
      <c r="A27" s="55" t="n"/>
      <c r="B27" s="55" t="n"/>
      <c r="C27" s="55" t="n"/>
      <c r="D27" s="55" t="n"/>
      <c r="E27" s="55" t="n"/>
      <c r="F27" s="55" t="n"/>
      <c r="G27" s="55" t="n"/>
      <c r="H27" s="55" t="n"/>
      <c r="I27" s="55" t="n"/>
    </row>
    <row r="28" ht="21.75" customHeight="1" s="314">
      <c r="A28" s="55" t="n"/>
      <c r="B28" s="55" t="n"/>
      <c r="C28" s="55" t="n"/>
      <c r="D28" s="55" t="n"/>
      <c r="E28" s="55" t="n"/>
      <c r="F28" s="55" t="n"/>
      <c r="G28" s="55" t="n"/>
      <c r="H28" s="55" t="n"/>
      <c r="I28" s="55" t="n"/>
    </row>
    <row r="29" ht="21.75" customHeight="1" s="314">
      <c r="A29" s="55" t="n"/>
      <c r="B29" s="55" t="n"/>
      <c r="C29" s="55" t="n"/>
      <c r="D29" s="55" t="n"/>
      <c r="E29" s="55" t="n"/>
      <c r="F29" s="55" t="n"/>
      <c r="G29" s="55" t="n"/>
      <c r="H29" s="55" t="n"/>
      <c r="I29" s="55" t="n"/>
    </row>
    <row r="30" ht="21.75" customHeight="1" s="314">
      <c r="A30" s="55" t="n"/>
      <c r="B30" s="55" t="n"/>
      <c r="C30" s="55" t="n"/>
      <c r="D30" s="55" t="n"/>
      <c r="E30" s="55" t="n"/>
      <c r="F30" s="55" t="n"/>
      <c r="G30" s="55" t="n"/>
      <c r="H30" s="55" t="n"/>
      <c r="I30" s="55" t="n"/>
    </row>
    <row r="31" ht="21.75" customHeight="1" s="314">
      <c r="A31" s="55" t="n"/>
      <c r="B31" s="55" t="n"/>
      <c r="C31" s="55" t="n"/>
      <c r="D31" s="55" t="n"/>
      <c r="E31" s="55" t="n"/>
      <c r="F31" s="55" t="n"/>
      <c r="G31" s="55" t="n"/>
      <c r="H31" s="55" t="n"/>
      <c r="I31" s="55" t="n"/>
    </row>
    <row r="32" ht="21.75" customHeight="1" s="314">
      <c r="A32" s="55" t="n"/>
      <c r="B32" s="55" t="n"/>
      <c r="C32" s="55" t="n"/>
      <c r="D32" s="55" t="n"/>
      <c r="E32" s="55" t="n"/>
      <c r="F32" s="55" t="n"/>
      <c r="G32" s="55" t="n"/>
      <c r="H32" s="55" t="n"/>
      <c r="I32" s="55" t="n"/>
    </row>
    <row r="33" ht="21.75" customHeight="1" s="314">
      <c r="A33" s="55" t="n"/>
      <c r="B33" s="55" t="n"/>
      <c r="C33" s="55" t="n"/>
      <c r="D33" s="55" t="n"/>
      <c r="E33" s="55" t="n"/>
      <c r="F33" s="55" t="n"/>
      <c r="G33" s="55" t="n"/>
      <c r="H33" s="55" t="n"/>
      <c r="I33" s="55" t="n"/>
    </row>
    <row r="34" ht="21.75" customHeight="1" s="314">
      <c r="A34" s="55" t="n"/>
      <c r="B34" s="55" t="n"/>
      <c r="C34" s="55" t="n"/>
      <c r="D34" s="55" t="n"/>
      <c r="E34" s="55" t="n"/>
      <c r="F34" s="55" t="n"/>
      <c r="G34" s="55" t="n"/>
      <c r="H34" s="55" t="n"/>
      <c r="I34" s="55" t="n"/>
    </row>
    <row r="35" ht="21.75" customHeight="1" s="314">
      <c r="A35" s="55" t="n"/>
      <c r="B35" s="55" t="n"/>
      <c r="C35" s="55" t="n"/>
      <c r="D35" s="55" t="n"/>
      <c r="E35" s="55" t="n"/>
      <c r="F35" s="55" t="n"/>
      <c r="G35" s="55" t="n"/>
      <c r="H35" s="55" t="n"/>
      <c r="I35" s="55" t="n"/>
    </row>
    <row r="36" ht="21.75" customHeight="1" s="314">
      <c r="A36" s="55" t="n"/>
      <c r="B36" s="55" t="n"/>
      <c r="C36" s="55" t="n"/>
      <c r="D36" s="55" t="n"/>
      <c r="E36" s="55" t="n"/>
      <c r="F36" s="55" t="n"/>
      <c r="G36" s="55" t="n"/>
      <c r="H36" s="55" t="n"/>
      <c r="I36" s="55" t="n"/>
    </row>
    <row r="37" ht="21.75" customHeight="1" s="314">
      <c r="A37" s="55" t="n"/>
      <c r="B37" s="55" t="n"/>
      <c r="C37" s="55" t="n"/>
      <c r="D37" s="55" t="n"/>
      <c r="E37" s="55" t="n"/>
      <c r="F37" s="55" t="n"/>
      <c r="G37" s="55" t="n"/>
      <c r="H37" s="55" t="n"/>
      <c r="I37" s="55" t="n"/>
    </row>
    <row r="38" ht="21.75" customHeight="1" s="314">
      <c r="A38" s="55" t="n"/>
      <c r="B38" s="55" t="n"/>
      <c r="C38" s="55" t="n"/>
      <c r="D38" s="55" t="n"/>
      <c r="E38" s="55" t="n"/>
      <c r="F38" s="55" t="n"/>
      <c r="G38" s="55" t="n"/>
      <c r="H38" s="55" t="n"/>
      <c r="I38" s="55" t="n"/>
    </row>
    <row r="39" ht="21.75" customHeight="1" s="314">
      <c r="A39" s="55" t="n"/>
      <c r="B39" s="55" t="n"/>
      <c r="C39" s="55" t="n"/>
      <c r="D39" s="55" t="n"/>
      <c r="E39" s="55" t="n"/>
      <c r="F39" s="55" t="n"/>
      <c r="G39" s="55" t="n"/>
      <c r="H39" s="55" t="n"/>
      <c r="I39" s="55" t="n"/>
    </row>
    <row r="40" ht="21.75" customHeight="1" s="314">
      <c r="A40" s="55" t="n"/>
      <c r="B40" s="55" t="n"/>
      <c r="C40" s="55" t="n"/>
      <c r="D40" s="55" t="n"/>
      <c r="E40" s="55" t="n"/>
      <c r="F40" s="55" t="n"/>
      <c r="G40" s="55" t="n"/>
      <c r="H40" s="55" t="n"/>
      <c r="I40" s="55" t="n"/>
    </row>
    <row r="41" ht="21.75" customHeight="1" s="314">
      <c r="A41" s="55" t="n"/>
      <c r="B41" s="55" t="n"/>
      <c r="C41" s="55" t="n"/>
      <c r="D41" s="55" t="n"/>
      <c r="E41" s="55" t="n"/>
      <c r="F41" s="55" t="n"/>
      <c r="G41" s="55" t="n"/>
      <c r="H41" s="55" t="n"/>
      <c r="I41" s="55" t="n"/>
    </row>
    <row r="42" ht="21.75" customHeight="1" s="314">
      <c r="A42" s="55" t="n"/>
      <c r="B42" s="55" t="n"/>
      <c r="C42" s="55" t="n"/>
      <c r="D42" s="55" t="n"/>
      <c r="E42" s="55" t="n"/>
      <c r="F42" s="55" t="n"/>
      <c r="G42" s="55" t="n"/>
      <c r="H42" s="55" t="n"/>
      <c r="I42" s="55" t="n"/>
    </row>
    <row r="43" ht="21.75" customHeight="1" s="314">
      <c r="A43" s="55" t="n"/>
      <c r="B43" s="55" t="n"/>
      <c r="C43" s="55" t="n"/>
      <c r="D43" s="55" t="n"/>
      <c r="E43" s="55" t="n"/>
      <c r="F43" s="55" t="n"/>
      <c r="G43" s="55" t="n"/>
      <c r="H43" s="55" t="n"/>
      <c r="I43" s="55" t="n"/>
    </row>
    <row r="44" ht="21.75" customHeight="1" s="314">
      <c r="A44" s="55" t="n"/>
      <c r="B44" s="55" t="n"/>
      <c r="C44" s="55" t="n"/>
      <c r="D44" s="55" t="n"/>
      <c r="E44" s="55" t="n"/>
      <c r="F44" s="55" t="n"/>
      <c r="G44" s="55" t="n"/>
      <c r="H44" s="55" t="n"/>
      <c r="I44" s="55" t="n"/>
    </row>
    <row r="45" ht="21.75" customHeight="1" s="314">
      <c r="A45" s="55" t="n"/>
      <c r="B45" s="55" t="n"/>
      <c r="C45" s="55" t="n"/>
      <c r="D45" s="55" t="n"/>
      <c r="E45" s="55" t="n"/>
      <c r="F45" s="55" t="n"/>
      <c r="G45" s="55" t="n"/>
      <c r="H45" s="55" t="n"/>
      <c r="I45" s="55" t="n"/>
    </row>
    <row r="46" ht="21.75" customHeight="1" s="314">
      <c r="A46" s="55" t="n"/>
      <c r="B46" s="55" t="n"/>
      <c r="C46" s="55" t="n"/>
      <c r="D46" s="55" t="n"/>
      <c r="E46" s="55" t="n"/>
      <c r="F46" s="55" t="n"/>
      <c r="G46" s="55" t="n"/>
      <c r="H46" s="55" t="n"/>
      <c r="I46" s="55" t="n"/>
    </row>
    <row r="47" ht="21.75" customHeight="1" s="314">
      <c r="A47" s="55" t="n"/>
      <c r="B47" s="55" t="n"/>
      <c r="C47" s="55" t="n"/>
      <c r="D47" s="55" t="n"/>
      <c r="E47" s="55" t="n"/>
      <c r="F47" s="55" t="n"/>
      <c r="G47" s="55" t="n"/>
      <c r="H47" s="55" t="n"/>
      <c r="I47" s="55" t="n"/>
    </row>
    <row r="48" ht="21.75" customHeight="1" s="314">
      <c r="A48" s="55" t="n"/>
      <c r="B48" s="55" t="n"/>
      <c r="C48" s="55" t="n"/>
      <c r="D48" s="55" t="n"/>
      <c r="E48" s="55" t="n"/>
      <c r="F48" s="55" t="n"/>
      <c r="G48" s="55" t="n"/>
      <c r="H48" s="55" t="n"/>
      <c r="I48" s="55" t="n"/>
    </row>
    <row r="49" ht="21.75" customHeight="1" s="314">
      <c r="A49" s="55" t="n"/>
      <c r="B49" s="55" t="n"/>
      <c r="C49" s="55" t="n"/>
      <c r="D49" s="55" t="n"/>
      <c r="E49" s="55" t="n"/>
      <c r="F49" s="55" t="n"/>
      <c r="G49" s="55" t="n"/>
      <c r="H49" s="55" t="n"/>
      <c r="I49" s="55" t="n"/>
    </row>
    <row r="50" ht="21.75" customHeight="1" s="314">
      <c r="A50" s="55" t="n"/>
      <c r="B50" s="55" t="n"/>
      <c r="C50" s="55" t="n"/>
      <c r="D50" s="55" t="n"/>
      <c r="E50" s="55" t="n"/>
      <c r="F50" s="55" t="n"/>
      <c r="G50" s="55" t="n"/>
      <c r="H50" s="55" t="n"/>
      <c r="I50" s="55" t="n"/>
    </row>
    <row r="51" ht="21.75" customHeight="1" s="314">
      <c r="A51" s="55" t="n"/>
      <c r="B51" s="55" t="n"/>
      <c r="C51" s="55" t="n"/>
      <c r="D51" s="55" t="n"/>
      <c r="E51" s="55" t="n"/>
      <c r="F51" s="55" t="n"/>
      <c r="G51" s="55" t="n"/>
      <c r="H51" s="55" t="n"/>
      <c r="I51" s="55" t="n"/>
    </row>
    <row r="52" ht="21.75" customHeight="1" s="314">
      <c r="A52" s="55" t="n"/>
      <c r="B52" s="55" t="n"/>
      <c r="C52" s="55" t="n"/>
      <c r="D52" s="55" t="n"/>
      <c r="E52" s="55" t="n"/>
      <c r="F52" s="55" t="n"/>
      <c r="G52" s="55" t="n"/>
      <c r="H52" s="55" t="n"/>
      <c r="I52" s="55" t="n"/>
    </row>
    <row r="53" ht="21.75" customHeight="1" s="314">
      <c r="A53" s="55" t="n"/>
      <c r="B53" s="55" t="n"/>
      <c r="C53" s="55" t="n"/>
      <c r="D53" s="55" t="n"/>
      <c r="E53" s="55" t="n"/>
      <c r="F53" s="55" t="n"/>
      <c r="G53" s="55" t="n"/>
      <c r="H53" s="55" t="n"/>
      <c r="I53" s="55" t="n"/>
    </row>
    <row r="54" ht="21.75" customHeight="1" s="314">
      <c r="A54" s="55" t="n"/>
      <c r="B54" s="55" t="n"/>
      <c r="C54" s="55" t="n"/>
      <c r="D54" s="55" t="n"/>
      <c r="E54" s="55" t="n"/>
      <c r="F54" s="55" t="n"/>
      <c r="G54" s="55" t="n"/>
      <c r="H54" s="55" t="n"/>
      <c r="I54" s="55" t="n"/>
    </row>
    <row r="55" ht="27.75" customHeight="1" s="314">
      <c r="A55" s="55" t="n"/>
      <c r="B55" s="178" t="n"/>
      <c r="C55" s="55" t="n"/>
      <c r="D55" s="55" t="n"/>
      <c r="E55" s="55" t="n"/>
      <c r="F55" s="55" t="n"/>
      <c r="G55" s="55" t="n"/>
      <c r="H55" s="55" t="n"/>
      <c r="I55" s="55" t="n"/>
    </row>
    <row r="56" ht="15" customHeight="1" s="314">
      <c r="A56" s="55" t="n"/>
      <c r="B56" s="55" t="n"/>
      <c r="C56" s="55" t="n"/>
      <c r="D56" s="55" t="n"/>
      <c r="E56" s="55" t="n"/>
      <c r="F56" s="55" t="n"/>
      <c r="G56" s="55" t="n"/>
      <c r="H56" s="55" t="n"/>
      <c r="I56" s="55" t="n"/>
    </row>
    <row r="57" ht="15" customHeight="1" s="314">
      <c r="A57" s="55" t="n"/>
      <c r="B57" s="55" t="n"/>
      <c r="C57" s="55" t="n"/>
      <c r="D57" s="55" t="n"/>
      <c r="E57" s="55" t="n"/>
      <c r="F57" s="55" t="n"/>
      <c r="G57" s="55" t="n"/>
      <c r="H57" s="55" t="n"/>
      <c r="I57" s="55" t="n"/>
    </row>
    <row r="58" ht="15" customHeight="1" s="314">
      <c r="A58" s="55" t="n"/>
      <c r="B58" s="55" t="n"/>
      <c r="C58" s="55" t="n"/>
      <c r="D58" s="55" t="n"/>
      <c r="E58" s="55" t="n"/>
      <c r="F58" s="55" t="n"/>
      <c r="G58" s="55" t="n"/>
      <c r="H58" s="55" t="n"/>
      <c r="I58" s="55" t="n"/>
    </row>
    <row r="59" ht="15" customHeight="1" s="314">
      <c r="A59" s="55" t="n"/>
      <c r="B59" s="55" t="n"/>
      <c r="C59" s="55" t="n"/>
      <c r="D59" s="55" t="n"/>
      <c r="E59" s="55" t="n"/>
      <c r="F59" s="55" t="n"/>
      <c r="G59" s="55" t="n"/>
      <c r="H59" s="55" t="n"/>
      <c r="I59" s="55" t="n"/>
    </row>
    <row r="60" ht="15" customHeight="1" s="314">
      <c r="A60" s="55" t="n"/>
      <c r="B60" s="55" t="n"/>
      <c r="C60" s="55" t="n"/>
      <c r="D60" s="55" t="n"/>
      <c r="E60" s="55" t="n"/>
      <c r="F60" s="55" t="n"/>
      <c r="G60" s="55" t="n"/>
      <c r="H60" s="55" t="n"/>
      <c r="I60" s="55" t="n"/>
    </row>
    <row r="61" ht="15" customHeight="1" s="314">
      <c r="A61" s="55" t="n"/>
      <c r="B61" s="55" t="n"/>
      <c r="C61" s="55" t="n"/>
      <c r="D61" s="55" t="n"/>
      <c r="E61" s="55" t="n"/>
      <c r="F61" s="55" t="n"/>
      <c r="G61" s="55" t="n"/>
      <c r="H61" s="55" t="n"/>
      <c r="I61" s="55" t="n"/>
    </row>
    <row r="62" ht="15" customHeight="1" s="314">
      <c r="A62" s="55" t="n"/>
      <c r="B62" s="55" t="n"/>
      <c r="C62" s="55" t="n"/>
      <c r="D62" s="55" t="n"/>
      <c r="E62" s="55" t="n"/>
      <c r="F62" s="55" t="n"/>
      <c r="G62" s="55" t="n"/>
      <c r="H62" s="55" t="n"/>
      <c r="I62" s="55" t="n"/>
    </row>
    <row r="63" ht="15" customHeight="1" s="314">
      <c r="A63" s="55" t="n"/>
      <c r="B63" s="55" t="n"/>
      <c r="C63" s="55" t="n"/>
      <c r="D63" s="55" t="n"/>
      <c r="E63" s="55" t="n"/>
      <c r="F63" s="55" t="n"/>
      <c r="G63" s="55" t="n"/>
      <c r="H63" s="55" t="n"/>
      <c r="I63" s="55" t="n"/>
    </row>
    <row r="64" ht="15" customHeight="1" s="314">
      <c r="A64" s="55" t="n"/>
      <c r="B64" s="55" t="n"/>
      <c r="C64" s="55" t="n"/>
      <c r="D64" s="55" t="n"/>
      <c r="E64" s="55" t="n"/>
      <c r="F64" s="55" t="n"/>
      <c r="G64" s="55" t="n"/>
      <c r="H64" s="55" t="n"/>
      <c r="I64" s="55" t="n"/>
    </row>
    <row r="65" ht="15" customHeight="1" s="314">
      <c r="A65" s="55" t="n"/>
      <c r="B65" s="55" t="n"/>
      <c r="C65" s="55" t="n"/>
      <c r="D65" s="55" t="n"/>
      <c r="E65" s="55" t="n"/>
      <c r="F65" s="55" t="n"/>
      <c r="G65" s="55" t="n"/>
      <c r="H65" s="55" t="n"/>
      <c r="I65" s="55" t="n"/>
    </row>
    <row r="66" ht="15" customHeight="1" s="314">
      <c r="A66" s="55" t="n"/>
      <c r="B66" s="55" t="n"/>
      <c r="C66" s="55" t="n"/>
      <c r="D66" s="55" t="n"/>
      <c r="E66" s="55" t="n"/>
      <c r="F66" s="55" t="n"/>
      <c r="G66" s="55" t="n"/>
      <c r="H66" s="55" t="n"/>
      <c r="I66" s="55" t="n"/>
    </row>
    <row r="67" ht="15" customHeight="1" s="314">
      <c r="A67" s="55" t="n"/>
      <c r="B67" s="55" t="n"/>
      <c r="C67" s="55" t="n"/>
      <c r="D67" s="55" t="n"/>
      <c r="E67" s="55" t="n"/>
      <c r="F67" s="55" t="n"/>
      <c r="G67" s="55" t="n"/>
      <c r="H67" s="55" t="n"/>
      <c r="I67" s="55" t="n"/>
    </row>
    <row r="68" ht="15" customHeight="1" s="314">
      <c r="A68" s="55" t="n"/>
      <c r="B68" s="55" t="n"/>
      <c r="C68" s="55" t="n"/>
      <c r="D68" s="55" t="n"/>
      <c r="E68" s="55" t="n"/>
      <c r="F68" s="55" t="n"/>
      <c r="G68" s="55" t="n"/>
      <c r="H68" s="55" t="n"/>
      <c r="I68" s="55" t="n"/>
    </row>
    <row r="69" ht="15" customHeight="1" s="314">
      <c r="A69" s="55" t="n"/>
      <c r="B69" s="55" t="n"/>
      <c r="C69" s="55" t="n"/>
      <c r="D69" s="55" t="n"/>
      <c r="E69" s="55" t="n"/>
      <c r="F69" s="55" t="n"/>
      <c r="G69" s="55" t="n"/>
      <c r="H69" s="55" t="n"/>
      <c r="I69" s="55" t="n"/>
    </row>
    <row r="70" ht="15" customHeight="1" s="314">
      <c r="A70" s="55" t="n"/>
      <c r="B70" s="55" t="n"/>
      <c r="C70" s="55" t="n"/>
      <c r="D70" s="55" t="n"/>
      <c r="E70" s="55" t="n"/>
      <c r="F70" s="55" t="n"/>
      <c r="G70" s="55" t="n"/>
      <c r="H70" s="55" t="n"/>
      <c r="I70" s="55" t="n"/>
    </row>
    <row r="71" ht="15" customHeight="1" s="314">
      <c r="A71" s="55" t="n"/>
      <c r="B71" s="55" t="n"/>
      <c r="C71" s="55" t="n"/>
      <c r="D71" s="55" t="n"/>
      <c r="E71" s="55" t="n"/>
      <c r="F71" s="55" t="n"/>
      <c r="G71" s="55" t="n"/>
      <c r="H71" s="55" t="n"/>
      <c r="I71" s="55" t="n"/>
    </row>
    <row r="72" ht="15" customHeight="1" s="314">
      <c r="A72" s="55" t="n"/>
      <c r="B72" s="55" t="n"/>
      <c r="C72" s="55" t="n"/>
      <c r="D72" s="55" t="n"/>
      <c r="E72" s="55" t="n"/>
      <c r="F72" s="55" t="n"/>
      <c r="G72" s="55" t="n"/>
      <c r="H72" s="55" t="n"/>
      <c r="I72" s="55" t="n"/>
    </row>
    <row r="73" ht="15" customHeight="1" s="314">
      <c r="A73" s="55" t="n"/>
      <c r="B73" s="55" t="n"/>
      <c r="C73" s="55" t="n"/>
      <c r="D73" s="55" t="n"/>
      <c r="E73" s="55" t="n"/>
      <c r="F73" s="55" t="n"/>
      <c r="G73" s="55" t="n"/>
      <c r="H73" s="55" t="n"/>
      <c r="I73" s="55" t="n"/>
    </row>
    <row r="74" ht="15" customHeight="1" s="314">
      <c r="A74" s="55" t="n"/>
      <c r="B74" s="55" t="n"/>
      <c r="C74" s="55" t="n"/>
      <c r="D74" s="55" t="n"/>
      <c r="E74" s="55" t="n"/>
      <c r="F74" s="55" t="n"/>
      <c r="G74" s="55" t="n"/>
      <c r="H74" s="55" t="n"/>
      <c r="I74" s="55" t="n"/>
    </row>
    <row r="75" ht="15" customHeight="1" s="314">
      <c r="A75" s="55" t="n"/>
      <c r="B75" s="55" t="n"/>
      <c r="C75" s="55" t="n"/>
      <c r="D75" s="55" t="n"/>
      <c r="E75" s="55" t="n"/>
      <c r="F75" s="55" t="n"/>
      <c r="G75" s="55" t="n"/>
      <c r="H75" s="55" t="n"/>
      <c r="I75" s="55" t="n"/>
    </row>
    <row r="76" ht="15" customHeight="1" s="314">
      <c r="A76" s="55" t="n"/>
      <c r="B76" s="55" t="n"/>
      <c r="C76" s="55" t="n"/>
      <c r="D76" s="55" t="n"/>
      <c r="E76" s="55" t="n"/>
      <c r="F76" s="55" t="n"/>
      <c r="G76" s="55" t="n"/>
      <c r="H76" s="55" t="n"/>
      <c r="I76" s="55" t="n"/>
    </row>
    <row r="77" ht="15" customHeight="1" s="314">
      <c r="A77" s="55" t="n"/>
      <c r="B77" s="55" t="n"/>
      <c r="C77" s="55" t="n"/>
      <c r="D77" s="55" t="n"/>
      <c r="E77" s="55" t="n"/>
      <c r="F77" s="55" t="n"/>
      <c r="G77" s="55" t="n"/>
      <c r="H77" s="55" t="n"/>
      <c r="I77" s="55" t="n"/>
    </row>
    <row r="78" ht="15" customHeight="1" s="314">
      <c r="A78" s="55" t="n"/>
      <c r="B78" s="55" t="n"/>
      <c r="C78" s="55" t="n"/>
      <c r="D78" s="55" t="n"/>
      <c r="E78" s="55" t="n"/>
      <c r="F78" s="55" t="n"/>
      <c r="G78" s="55" t="n"/>
      <c r="H78" s="55" t="n"/>
      <c r="I78" s="55" t="n"/>
    </row>
    <row r="79" ht="15" customHeight="1" s="314">
      <c r="A79" s="55" t="n"/>
      <c r="B79" s="55" t="n"/>
      <c r="C79" s="55" t="n"/>
      <c r="D79" s="55" t="n"/>
      <c r="E79" s="55" t="n"/>
      <c r="F79" s="55" t="n"/>
      <c r="G79" s="55" t="n"/>
      <c r="H79" s="55" t="n"/>
      <c r="I79" s="55" t="n"/>
    </row>
    <row r="80" ht="15" customHeight="1" s="314">
      <c r="A80" s="55" t="n"/>
      <c r="B80" s="55" t="n"/>
      <c r="C80" s="55" t="n"/>
      <c r="D80" s="55" t="n"/>
      <c r="E80" s="55" t="n"/>
      <c r="F80" s="55" t="n"/>
      <c r="G80" s="55" t="n"/>
      <c r="H80" s="55" t="n"/>
      <c r="I80" s="55" t="n"/>
    </row>
    <row r="81" ht="15" customHeight="1" s="314">
      <c r="A81" s="55" t="n"/>
      <c r="B81" s="55" t="n"/>
      <c r="C81" s="55" t="n"/>
      <c r="D81" s="55" t="n"/>
      <c r="E81" s="55" t="n"/>
      <c r="F81" s="55" t="n"/>
      <c r="G81" s="55" t="n"/>
      <c r="H81" s="55" t="n"/>
      <c r="I81" s="55" t="n"/>
    </row>
    <row r="82" ht="15" customHeight="1" s="314">
      <c r="A82" s="55" t="n"/>
      <c r="B82" s="55" t="n"/>
      <c r="C82" s="55" t="n"/>
      <c r="D82" s="55" t="n"/>
      <c r="E82" s="55" t="n"/>
      <c r="F82" s="55" t="n"/>
      <c r="G82" s="55" t="n"/>
      <c r="H82" s="55" t="n"/>
      <c r="I82" s="55" t="n"/>
    </row>
    <row r="83" ht="15" customHeight="1" s="314">
      <c r="A83" s="55" t="n"/>
      <c r="B83" s="55" t="n"/>
      <c r="C83" s="55" t="n"/>
      <c r="D83" s="55" t="n"/>
      <c r="E83" s="55" t="n"/>
      <c r="F83" s="55" t="n"/>
      <c r="G83" s="55" t="n"/>
      <c r="H83" s="55" t="n"/>
      <c r="I83" s="55" t="n"/>
    </row>
    <row r="84" ht="15" customHeight="1" s="314">
      <c r="A84" s="55" t="n"/>
      <c r="B84" s="55" t="n"/>
      <c r="C84" s="55" t="n"/>
      <c r="D84" s="55" t="n"/>
      <c r="E84" s="55" t="n"/>
      <c r="F84" s="55" t="n"/>
      <c r="G84" s="55" t="n"/>
      <c r="H84" s="55" t="n"/>
      <c r="I84" s="55" t="n"/>
    </row>
    <row r="85" ht="15" customHeight="1" s="314">
      <c r="A85" s="55" t="n"/>
      <c r="B85" s="55" t="n"/>
      <c r="C85" s="55" t="n"/>
      <c r="D85" s="55" t="n"/>
      <c r="E85" s="55" t="n"/>
      <c r="F85" s="55" t="n"/>
      <c r="G85" s="55" t="n"/>
      <c r="H85" s="55" t="n"/>
      <c r="I85" s="55" t="n"/>
    </row>
    <row r="86" ht="15" customHeight="1" s="314">
      <c r="A86" s="55" t="n"/>
      <c r="B86" s="55" t="n"/>
      <c r="C86" s="55" t="n"/>
      <c r="D86" s="55" t="n"/>
      <c r="E86" s="55" t="n"/>
      <c r="F86" s="55" t="n"/>
      <c r="G86" s="55" t="n"/>
      <c r="H86" s="55" t="n"/>
      <c r="I86" s="55" t="n"/>
    </row>
    <row r="87" ht="15" customHeight="1" s="314">
      <c r="A87" s="55" t="n"/>
      <c r="B87" s="55" t="n"/>
      <c r="C87" s="55" t="n"/>
      <c r="D87" s="55" t="n"/>
      <c r="E87" s="55" t="n"/>
      <c r="F87" s="55" t="n"/>
      <c r="G87" s="55" t="n"/>
      <c r="H87" s="55" t="n"/>
      <c r="I87" s="55" t="n"/>
    </row>
    <row r="88" ht="15" customHeight="1" s="314">
      <c r="A88" s="55" t="n"/>
      <c r="B88" s="55" t="n"/>
      <c r="C88" s="55" t="n"/>
      <c r="D88" s="55" t="n"/>
      <c r="E88" s="55" t="n"/>
      <c r="F88" s="55" t="n"/>
      <c r="G88" s="55" t="n"/>
      <c r="H88" s="55" t="n"/>
      <c r="I88" s="55" t="n"/>
    </row>
    <row r="89" ht="15" customHeight="1" s="314">
      <c r="A89" s="55" t="n"/>
      <c r="B89" s="55" t="n"/>
      <c r="C89" s="55" t="n"/>
      <c r="D89" s="55" t="n"/>
      <c r="E89" s="55" t="n"/>
      <c r="F89" s="55" t="n"/>
      <c r="G89" s="55" t="n"/>
      <c r="H89" s="55" t="n"/>
      <c r="I89" s="55" t="n"/>
    </row>
    <row r="90" ht="15" customHeight="1" s="314">
      <c r="A90" s="55" t="n"/>
      <c r="B90" s="55" t="n"/>
      <c r="C90" s="55" t="n"/>
      <c r="D90" s="55" t="n"/>
      <c r="E90" s="55" t="n"/>
      <c r="F90" s="55" t="n"/>
      <c r="G90" s="55" t="n"/>
      <c r="H90" s="55" t="n"/>
      <c r="I90" s="55" t="n"/>
    </row>
    <row r="91" ht="15" customHeight="1" s="314">
      <c r="A91" s="55" t="n"/>
      <c r="B91" s="55" t="n"/>
      <c r="C91" s="55" t="n"/>
      <c r="D91" s="55" t="n"/>
      <c r="E91" s="55" t="n"/>
      <c r="F91" s="55" t="n"/>
      <c r="G91" s="55" t="n"/>
      <c r="H91" s="55" t="n"/>
      <c r="I91" s="55" t="n"/>
    </row>
    <row r="92" ht="15" customHeight="1" s="314">
      <c r="A92" s="55" t="n"/>
      <c r="B92" s="55" t="n"/>
      <c r="C92" s="55" t="n"/>
      <c r="D92" s="55" t="n"/>
      <c r="E92" s="55" t="n"/>
      <c r="F92" s="55" t="n"/>
      <c r="G92" s="55" t="n"/>
      <c r="H92" s="55" t="n"/>
      <c r="I92" s="55" t="n"/>
    </row>
    <row r="93" ht="15" customHeight="1" s="314">
      <c r="A93" s="55" t="n"/>
      <c r="B93" s="55" t="n"/>
      <c r="C93" s="55" t="n"/>
      <c r="D93" s="55" t="n"/>
      <c r="E93" s="55" t="n"/>
      <c r="F93" s="55" t="n"/>
      <c r="G93" s="55" t="n"/>
      <c r="H93" s="55" t="n"/>
      <c r="I93" s="55" t="n"/>
    </row>
    <row r="94" ht="15" customHeight="1" s="314">
      <c r="A94" s="55" t="n"/>
      <c r="B94" s="55" t="n"/>
      <c r="C94" s="55" t="n"/>
      <c r="D94" s="55" t="n"/>
      <c r="E94" s="55" t="n"/>
      <c r="F94" s="55" t="n"/>
      <c r="G94" s="55" t="n"/>
      <c r="H94" s="55" t="n"/>
      <c r="I94" s="55" t="n"/>
    </row>
    <row r="95" ht="15" customHeight="1" s="314">
      <c r="A95" s="55" t="n"/>
      <c r="B95" s="55" t="n"/>
      <c r="C95" s="55" t="n"/>
      <c r="D95" s="55" t="n"/>
      <c r="E95" s="55" t="n"/>
      <c r="F95" s="55" t="n"/>
      <c r="G95" s="55" t="n"/>
      <c r="H95" s="55" t="n"/>
      <c r="I95" s="55" t="n"/>
    </row>
    <row r="96" ht="15" customHeight="1" s="314">
      <c r="A96" s="55" t="n"/>
      <c r="B96" s="55" t="n"/>
      <c r="C96" s="55" t="n"/>
      <c r="D96" s="55" t="n"/>
      <c r="E96" s="55" t="n"/>
      <c r="F96" s="55" t="n"/>
      <c r="G96" s="55" t="n"/>
      <c r="H96" s="55" t="n"/>
      <c r="I96" s="55" t="n"/>
    </row>
    <row r="97" ht="15" customHeight="1" s="314">
      <c r="A97" s="55" t="n"/>
      <c r="B97" s="55" t="n"/>
      <c r="C97" s="55" t="n"/>
      <c r="D97" s="55" t="n"/>
      <c r="E97" s="55" t="n"/>
      <c r="F97" s="55" t="n"/>
      <c r="G97" s="55" t="n"/>
      <c r="H97" s="55" t="n"/>
      <c r="I97" s="55" t="n"/>
    </row>
    <row r="98" ht="15" customHeight="1" s="314">
      <c r="A98" s="55" t="n"/>
      <c r="B98" s="55" t="n"/>
      <c r="C98" s="55" t="n"/>
      <c r="D98" s="55" t="n"/>
      <c r="E98" s="55" t="n"/>
      <c r="F98" s="55" t="n"/>
      <c r="G98" s="55" t="n"/>
      <c r="H98" s="55" t="n"/>
      <c r="I98" s="55" t="n"/>
    </row>
    <row r="99" ht="15" customHeight="1" s="314">
      <c r="A99" s="55" t="n"/>
      <c r="B99" s="55" t="n"/>
      <c r="C99" s="55" t="n"/>
      <c r="D99" s="55" t="n"/>
      <c r="E99" s="55" t="n"/>
      <c r="F99" s="55" t="n"/>
      <c r="G99" s="55" t="n"/>
      <c r="H99" s="55" t="n"/>
      <c r="I99" s="55" t="n"/>
    </row>
  </sheetData>
  <autoFilter ref="A4:I99"/>
  <mergeCells count="3">
    <mergeCell ref="A1:I1"/>
    <mergeCell ref="A19:B19"/>
    <mergeCell ref="A2:I2"/>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833C00"/>
    <outlinePr summaryBelow="1" summaryRight="1"/>
    <pageSetUpPr/>
  </sheetPr>
  <dimension ref="A1:I55"/>
  <sheetViews>
    <sheetView showGridLines="0" zoomScaleNormal="100" workbookViewId="0">
      <pane ySplit="4" topLeftCell="A5" activePane="bottomLeft" state="frozen"/>
      <selection pane="bottomLeft" activeCell="A1" sqref="A1"/>
    </sheetView>
  </sheetViews>
  <sheetFormatPr baseColWidth="8" defaultColWidth="8.7109375" defaultRowHeight="15"/>
  <cols>
    <col width="26" customWidth="1" style="314" min="1" max="1"/>
    <col width="14" customWidth="1" style="314" min="2" max="2"/>
    <col width="18" customWidth="1" style="314" min="3" max="9"/>
  </cols>
  <sheetData>
    <row r="1" ht="42" customHeight="1" s="314">
      <c r="A1" s="289" t="inlineStr">
        <is>
          <t>🗓️  LAPORAN BULANAN</t>
        </is>
      </c>
    </row>
    <row r="2" ht="19.5" customHeight="1" s="314">
      <c r="A2" s="290" t="inlineStr">
        <is>
          <t>Rekap bulanan — April s/d Juni 2026  ·  Data otomatis dari sheet Data Pasien</t>
        </is>
      </c>
    </row>
    <row r="3" ht="7.5" customHeight="1" s="314"/>
    <row r="4" ht="42" customHeight="1" s="314">
      <c r="A4" s="185" t="inlineStr">
        <is>
          <t>Periode</t>
        </is>
      </c>
      <c r="B4" s="185" t="inlineStr">
        <is>
          <t>Jml
Pasien</t>
        </is>
      </c>
      <c r="C4" s="166" t="inlineStr">
        <is>
          <t>Dokter
Cash (Rp)</t>
        </is>
      </c>
      <c r="D4" s="167" t="inlineStr">
        <is>
          <t>Dokter
Transfer (Rp)</t>
        </is>
      </c>
      <c r="E4" s="185" t="inlineStr">
        <is>
          <t>Total Dokter (Rp)</t>
        </is>
      </c>
      <c r="F4" s="166" t="inlineStr">
        <is>
          <t>Obat Cash
(Ambil, Rp)</t>
        </is>
      </c>
      <c r="G4" s="167" t="inlineStr">
        <is>
          <t>Obat Transfer
(Ambil, Rp)</t>
        </is>
      </c>
      <c r="H4" s="185" t="inlineStr">
        <is>
          <t>Total Obat
(Ambil, Rp)</t>
        </is>
      </c>
      <c r="I4" s="34" t="inlineStr">
        <is>
          <t>Grand Total (Rp)</t>
        </is>
      </c>
    </row>
    <row r="5" ht="21.75" customHeight="1" s="314">
      <c r="A5" s="168" t="inlineStr">
        <is>
          <t>April 2026</t>
        </is>
      </c>
      <c r="B5" s="169">
        <f>COUNTA('📋 Data Pasien'!C7:C130)</f>
        <v/>
      </c>
      <c r="C5" s="170">
        <f>SUMIF('📋 Data Pasien'!E7:E130,"Cash",'📋 Data Pasien'!D7:D130)</f>
        <v/>
      </c>
      <c r="D5" s="171">
        <f>SUMIF('📋 Data Pasien'!E7:E130,"Transfer Bank",'📋 Data Pasien'!D7:D130)</f>
        <v/>
      </c>
      <c r="E5" s="172">
        <f>SUMIF('📋 Data Pasien'!C7:C130,"&lt;&gt;",'📋 Data Pasien'!D7:D130)</f>
        <v/>
      </c>
      <c r="F5" s="170">
        <f>SUMIFS('📋 Data Pasien'!G7:G130,'📋 Data Pasien'!H7:H130,"Cash",'📋 Data Pasien'!F7:F130,"Ambil Obat")</f>
        <v/>
      </c>
      <c r="G5" s="171">
        <f>SUMIFS('📋 Data Pasien'!G7:G130,'📋 Data Pasien'!H7:H130,"Transfer Bank",'📋 Data Pasien'!F7:F130,"Ambil Obat")</f>
        <v/>
      </c>
      <c r="H5" s="172">
        <f>SUMIF('📋 Data Pasien'!F7:F130,"Ambil Obat",'📋 Data Pasien'!G7:G130)</f>
        <v/>
      </c>
      <c r="I5" s="173">
        <f>IF(E5=0,"",E5+H5)</f>
        <v/>
      </c>
    </row>
    <row r="6" ht="21.75" customHeight="1" s="314">
      <c r="A6" s="186" t="inlineStr">
        <is>
          <t>Mei 2026</t>
        </is>
      </c>
      <c r="B6" s="187">
        <f>COUNTA('📋 Data Pasien'!C133:C587)</f>
        <v/>
      </c>
      <c r="C6" s="170">
        <f>SUMIF('📋 Data Pasien'!E133:E587,"Cash",'📋 Data Pasien'!D133:D587)</f>
        <v/>
      </c>
      <c r="D6" s="171">
        <f>SUMIF('📋 Data Pasien'!E133:E587,"Transfer Bank",'📋 Data Pasien'!D133:D587)</f>
        <v/>
      </c>
      <c r="E6" s="188">
        <f>SUMIF('📋 Data Pasien'!C133:C587,"&lt;&gt;",'📋 Data Pasien'!D133:D587)</f>
        <v/>
      </c>
      <c r="F6" s="170">
        <f>SUMIFS('📋 Data Pasien'!G133:G587,'📋 Data Pasien'!H133:H587,"Cash",'📋 Data Pasien'!F133:F587,"Ambil Obat")</f>
        <v/>
      </c>
      <c r="G6" s="171">
        <f>SUMIFS('📋 Data Pasien'!G133:G587,'📋 Data Pasien'!H133:H587,"Transfer Bank",'📋 Data Pasien'!F133:F587,"Ambil Obat")</f>
        <v/>
      </c>
      <c r="H6" s="188">
        <f>SUMIF('📋 Data Pasien'!F133:F587,"Ambil Obat",'📋 Data Pasien'!G133:G587)</f>
        <v/>
      </c>
      <c r="I6" s="173">
        <f>IF(E6=0,"",E6+H6)</f>
        <v/>
      </c>
    </row>
    <row r="7" ht="21.75" customHeight="1" s="314">
      <c r="A7" s="168" t="inlineStr">
        <is>
          <t>Juni 2026</t>
        </is>
      </c>
      <c r="B7" s="169">
        <f>COUNTA('📋 Data Pasien'!C590:C1097)</f>
        <v/>
      </c>
      <c r="C7" s="170">
        <f>SUMIF('📋 Data Pasien'!E590:E1097,"Cash",'📋 Data Pasien'!D590:D1097)</f>
        <v/>
      </c>
      <c r="D7" s="171">
        <f>SUMIF('📋 Data Pasien'!E590:E1097,"Transfer Bank",'📋 Data Pasien'!D590:D1097)</f>
        <v/>
      </c>
      <c r="E7" s="172">
        <f>SUMIF('📋 Data Pasien'!C590:C1097,"&lt;&gt;",'📋 Data Pasien'!D590:D1097)</f>
        <v/>
      </c>
      <c r="F7" s="170">
        <f>SUMIFS('📋 Data Pasien'!G590:G1097,'📋 Data Pasien'!H590:H1097,"Cash",'📋 Data Pasien'!F590:F1097,"Ambil Obat")</f>
        <v/>
      </c>
      <c r="G7" s="171">
        <f>SUMIFS('📋 Data Pasien'!G590:G1097,'📋 Data Pasien'!H590:H1097,"Transfer Bank",'📋 Data Pasien'!F590:F1097,"Ambil Obat")</f>
        <v/>
      </c>
      <c r="H7" s="172">
        <f>SUMIF('📋 Data Pasien'!F590:F1097,"Ambil Obat",'📋 Data Pasien'!G590:G1097)</f>
        <v/>
      </c>
      <c r="I7" s="173">
        <f>IF(E7=0,"",E7+H7)</f>
        <v/>
      </c>
    </row>
    <row r="8" ht="27.75" customHeight="1" s="314">
      <c r="A8" s="291" t="inlineStr">
        <is>
          <t>TOTAL</t>
        </is>
      </c>
      <c r="B8" s="324" t="n"/>
      <c r="C8" s="189">
        <f>SUM(C5:C7)</f>
        <v/>
      </c>
      <c r="D8" s="189">
        <f>SUM(D5:D7)</f>
        <v/>
      </c>
      <c r="E8" s="189">
        <f>SUM(E5:E7)</f>
        <v/>
      </c>
      <c r="F8" s="189">
        <f>SUM(F5:F7)</f>
        <v/>
      </c>
      <c r="G8" s="189">
        <f>SUM(G5:G7)</f>
        <v/>
      </c>
      <c r="H8" s="189">
        <f>SUM(H5:H7)</f>
        <v/>
      </c>
      <c r="I8" s="189">
        <f>SUM(I5:I7)</f>
        <v/>
      </c>
    </row>
    <row r="9" ht="21.75" customHeight="1" s="314">
      <c r="A9" s="55" t="n"/>
      <c r="B9" s="55" t="n"/>
      <c r="C9" s="55" t="n"/>
      <c r="D9" s="55" t="n"/>
      <c r="E9" s="55" t="n"/>
      <c r="F9" s="55" t="n"/>
      <c r="G9" s="55" t="n"/>
      <c r="H9" s="55" t="n"/>
      <c r="I9" s="55" t="n"/>
    </row>
    <row r="10" ht="21.75" customHeight="1" s="314">
      <c r="A10" s="55" t="n"/>
      <c r="B10" s="55" t="n"/>
      <c r="C10" s="55" t="n"/>
      <c r="D10" s="55" t="n"/>
      <c r="E10" s="55" t="n"/>
      <c r="F10" s="55" t="n"/>
      <c r="G10" s="55" t="n"/>
      <c r="H10" s="55" t="n"/>
      <c r="I10" s="55" t="n"/>
    </row>
    <row r="11" ht="21.75" customHeight="1" s="314">
      <c r="A11" s="55" t="n"/>
      <c r="B11" s="55" t="n"/>
      <c r="C11" s="55" t="n"/>
      <c r="D11" s="55" t="n"/>
      <c r="E11" s="55" t="n"/>
      <c r="F11" s="55" t="n"/>
      <c r="G11" s="55" t="n"/>
      <c r="H11" s="55" t="n"/>
      <c r="I11" s="55" t="n"/>
    </row>
    <row r="12" ht="21.75" customHeight="1" s="314">
      <c r="A12" s="55" t="n"/>
      <c r="B12" s="55" t="n"/>
      <c r="C12" s="55" t="n"/>
      <c r="D12" s="55" t="n"/>
      <c r="E12" s="55" t="n"/>
      <c r="F12" s="55" t="n"/>
      <c r="G12" s="55" t="n"/>
      <c r="H12" s="55" t="n"/>
      <c r="I12" s="55" t="n"/>
    </row>
    <row r="13" ht="21.75" customHeight="1" s="314">
      <c r="A13" s="55" t="n"/>
      <c r="B13" s="55" t="n"/>
      <c r="C13" s="55" t="n"/>
      <c r="D13" s="55" t="n"/>
      <c r="E13" s="55" t="n"/>
      <c r="F13" s="55" t="n"/>
      <c r="G13" s="55" t="n"/>
      <c r="H13" s="55" t="n"/>
      <c r="I13" s="55" t="n"/>
    </row>
    <row r="14" ht="21.75" customHeight="1" s="314">
      <c r="A14" s="55" t="n"/>
      <c r="B14" s="55" t="n"/>
      <c r="C14" s="55" t="n"/>
      <c r="D14" s="55" t="n"/>
      <c r="E14" s="55" t="n"/>
      <c r="F14" s="55" t="n"/>
      <c r="G14" s="55" t="n"/>
      <c r="H14" s="55" t="n"/>
      <c r="I14" s="55" t="n"/>
    </row>
    <row r="15" ht="21.75" customHeight="1" s="314">
      <c r="A15" s="55" t="n"/>
      <c r="B15" s="55" t="n"/>
      <c r="C15" s="55" t="n"/>
      <c r="D15" s="55" t="n"/>
      <c r="E15" s="55" t="n"/>
      <c r="F15" s="55" t="n"/>
      <c r="G15" s="55" t="n"/>
      <c r="H15" s="55" t="n"/>
      <c r="I15" s="55" t="n"/>
    </row>
    <row r="16" ht="21.75" customHeight="1" s="314">
      <c r="A16" s="55" t="n"/>
      <c r="B16" s="55" t="n"/>
      <c r="C16" s="55" t="n"/>
      <c r="D16" s="55" t="n"/>
      <c r="E16" s="55" t="n"/>
      <c r="F16" s="55" t="n"/>
      <c r="G16" s="55" t="n"/>
      <c r="H16" s="55" t="n"/>
      <c r="I16" s="55" t="n"/>
    </row>
    <row r="17" ht="21.75" customHeight="1" s="314">
      <c r="A17" s="55" t="n"/>
      <c r="B17" s="55" t="n"/>
      <c r="C17" s="55" t="n"/>
      <c r="D17" s="55" t="n"/>
      <c r="E17" s="55" t="n"/>
      <c r="F17" s="55" t="n"/>
      <c r="G17" s="55" t="n"/>
      <c r="H17" s="55" t="n"/>
      <c r="I17" s="55" t="n"/>
    </row>
    <row r="18" ht="21.75" customHeight="1" s="314">
      <c r="A18" s="55" t="n"/>
      <c r="B18" s="55" t="n"/>
      <c r="C18" s="55" t="n"/>
      <c r="D18" s="55" t="n"/>
      <c r="E18" s="55" t="n"/>
      <c r="F18" s="55" t="n"/>
      <c r="G18" s="55" t="n"/>
      <c r="H18" s="55" t="n"/>
      <c r="I18" s="55" t="n"/>
    </row>
    <row r="19" ht="21.75" customHeight="1" s="314">
      <c r="A19" s="55" t="n"/>
      <c r="B19" s="55" t="n"/>
      <c r="C19" s="55" t="n"/>
      <c r="D19" s="55" t="n"/>
      <c r="E19" s="55" t="n"/>
      <c r="F19" s="55" t="n"/>
      <c r="G19" s="55" t="n"/>
      <c r="H19" s="55" t="n"/>
      <c r="I19" s="55" t="n"/>
    </row>
    <row r="20" ht="21.75" customHeight="1" s="314">
      <c r="A20" s="55" t="n"/>
      <c r="B20" s="55" t="n"/>
      <c r="C20" s="55" t="n"/>
      <c r="D20" s="55" t="n"/>
      <c r="E20" s="55" t="n"/>
      <c r="F20" s="55" t="n"/>
      <c r="G20" s="55" t="n"/>
      <c r="H20" s="55" t="n"/>
      <c r="I20" s="55" t="n"/>
    </row>
    <row r="21" ht="21.75" customHeight="1" s="314">
      <c r="A21" s="55" t="n"/>
      <c r="B21" s="55" t="n"/>
      <c r="C21" s="55" t="n"/>
      <c r="D21" s="55" t="n"/>
      <c r="E21" s="55" t="n"/>
      <c r="F21" s="55" t="n"/>
      <c r="G21" s="55" t="n"/>
      <c r="H21" s="55" t="n"/>
      <c r="I21" s="55" t="n"/>
    </row>
    <row r="22" ht="21.75" customHeight="1" s="314">
      <c r="A22" s="55" t="n"/>
      <c r="B22" s="55" t="n"/>
      <c r="C22" s="55" t="n"/>
      <c r="D22" s="55" t="n"/>
      <c r="E22" s="55" t="n"/>
      <c r="F22" s="55" t="n"/>
      <c r="G22" s="55" t="n"/>
      <c r="H22" s="55" t="n"/>
      <c r="I22" s="55" t="n"/>
    </row>
    <row r="23" ht="21.75" customHeight="1" s="314">
      <c r="A23" s="55" t="n"/>
      <c r="B23" s="55" t="n"/>
      <c r="C23" s="55" t="n"/>
      <c r="D23" s="55" t="n"/>
      <c r="E23" s="55" t="n"/>
      <c r="F23" s="55" t="n"/>
      <c r="G23" s="55" t="n"/>
      <c r="H23" s="55" t="n"/>
      <c r="I23" s="55" t="n"/>
    </row>
    <row r="24" ht="21.75" customHeight="1" s="314">
      <c r="A24" s="55" t="n"/>
      <c r="B24" s="55" t="n"/>
      <c r="C24" s="55" t="n"/>
      <c r="D24" s="55" t="n"/>
      <c r="E24" s="55" t="n"/>
      <c r="F24" s="55" t="n"/>
      <c r="G24" s="55" t="n"/>
      <c r="H24" s="55" t="n"/>
      <c r="I24" s="55" t="n"/>
    </row>
    <row r="25" ht="21.75" customHeight="1" s="314">
      <c r="A25" s="55" t="n"/>
      <c r="B25" s="55" t="n"/>
      <c r="C25" s="55" t="n"/>
      <c r="D25" s="55" t="n"/>
      <c r="E25" s="55" t="n"/>
      <c r="F25" s="55" t="n"/>
      <c r="G25" s="55" t="n"/>
      <c r="H25" s="55" t="n"/>
      <c r="I25" s="55" t="n"/>
    </row>
    <row r="26" ht="21.75" customHeight="1" s="314">
      <c r="A26" s="55" t="n"/>
      <c r="B26" s="55" t="n"/>
      <c r="C26" s="55" t="n"/>
      <c r="D26" s="55" t="n"/>
      <c r="E26" s="55" t="n"/>
      <c r="F26" s="55" t="n"/>
      <c r="G26" s="55" t="n"/>
      <c r="H26" s="55" t="n"/>
      <c r="I26" s="55" t="n"/>
    </row>
    <row r="27" ht="21.75" customHeight="1" s="314">
      <c r="A27" s="55" t="n"/>
      <c r="B27" s="55" t="n"/>
      <c r="C27" s="55" t="n"/>
      <c r="D27" s="55" t="n"/>
      <c r="E27" s="55" t="n"/>
      <c r="F27" s="55" t="n"/>
      <c r="G27" s="55" t="n"/>
      <c r="H27" s="55" t="n"/>
      <c r="I27" s="55" t="n"/>
    </row>
    <row r="28" ht="21.75" customHeight="1" s="314">
      <c r="A28" s="55" t="n"/>
      <c r="B28" s="55" t="n"/>
      <c r="C28" s="55" t="n"/>
      <c r="D28" s="55" t="n"/>
      <c r="E28" s="55" t="n"/>
      <c r="F28" s="55" t="n"/>
      <c r="G28" s="55" t="n"/>
      <c r="H28" s="55" t="n"/>
      <c r="I28" s="55" t="n"/>
    </row>
    <row r="29" ht="21.75" customHeight="1" s="314">
      <c r="A29" s="55" t="n"/>
      <c r="B29" s="55" t="n"/>
      <c r="C29" s="55" t="n"/>
      <c r="D29" s="55" t="n"/>
      <c r="E29" s="55" t="n"/>
      <c r="F29" s="55" t="n"/>
      <c r="G29" s="55" t="n"/>
      <c r="H29" s="55" t="n"/>
      <c r="I29" s="55" t="n"/>
    </row>
    <row r="30" ht="21.75" customHeight="1" s="314">
      <c r="A30" s="190" t="n"/>
      <c r="B30" s="191" t="n"/>
      <c r="C30" s="192" t="n"/>
      <c r="D30" s="193" t="n"/>
      <c r="E30" s="194" t="n"/>
      <c r="F30" s="192" t="n"/>
      <c r="G30" s="193" t="n"/>
      <c r="H30" s="194" t="n"/>
      <c r="I30" s="194" t="n"/>
    </row>
    <row r="31" ht="21.75" customHeight="1" s="314">
      <c r="A31" s="195" t="n"/>
      <c r="B31" s="196" t="n"/>
      <c r="C31" s="192" t="n"/>
      <c r="D31" s="193" t="n"/>
      <c r="E31" s="197" t="n"/>
      <c r="F31" s="192" t="n"/>
      <c r="G31" s="193" t="n"/>
      <c r="H31" s="197" t="n"/>
      <c r="I31" s="197" t="n"/>
    </row>
    <row r="32" ht="21.75" customHeight="1" s="314">
      <c r="A32" s="190" t="n"/>
      <c r="B32" s="191" t="n"/>
      <c r="C32" s="192" t="n"/>
      <c r="D32" s="193" t="n"/>
      <c r="E32" s="194" t="n"/>
      <c r="F32" s="192" t="n"/>
      <c r="G32" s="193" t="n"/>
      <c r="H32" s="194" t="n"/>
      <c r="I32" s="194" t="n"/>
    </row>
    <row r="33" ht="21.75" customHeight="1" s="314">
      <c r="A33" s="195" t="n"/>
      <c r="B33" s="196" t="n"/>
      <c r="C33" s="192" t="n"/>
      <c r="D33" s="193" t="n"/>
      <c r="E33" s="197" t="n"/>
      <c r="F33" s="192" t="n"/>
      <c r="G33" s="193" t="n"/>
      <c r="H33" s="197" t="n"/>
      <c r="I33" s="197" t="n"/>
    </row>
    <row r="34" ht="21.75" customHeight="1" s="314">
      <c r="A34" s="190" t="n"/>
      <c r="B34" s="191" t="n"/>
      <c r="C34" s="192" t="n"/>
      <c r="D34" s="193" t="n"/>
      <c r="E34" s="194" t="n"/>
      <c r="F34" s="192" t="n"/>
      <c r="G34" s="193" t="n"/>
      <c r="H34" s="194" t="n"/>
      <c r="I34" s="194" t="n"/>
    </row>
    <row r="35" ht="21.75" customHeight="1" s="314">
      <c r="A35" s="195" t="n"/>
      <c r="B35" s="196" t="n"/>
      <c r="C35" s="192" t="n"/>
      <c r="D35" s="193" t="n"/>
      <c r="E35" s="197" t="n"/>
      <c r="F35" s="192" t="n"/>
      <c r="G35" s="193" t="n"/>
      <c r="H35" s="197" t="n"/>
      <c r="I35" s="197" t="n"/>
    </row>
    <row r="36" ht="21.75" customHeight="1" s="314">
      <c r="A36" s="190" t="n"/>
      <c r="B36" s="191" t="n"/>
      <c r="C36" s="192" t="n"/>
      <c r="D36" s="193" t="n"/>
      <c r="E36" s="194" t="n"/>
      <c r="F36" s="192" t="n"/>
      <c r="G36" s="193" t="n"/>
      <c r="H36" s="194" t="n"/>
      <c r="I36" s="194" t="n"/>
    </row>
    <row r="37" ht="21.75" customHeight="1" s="314">
      <c r="A37" s="195" t="n"/>
      <c r="B37" s="196" t="n"/>
      <c r="C37" s="192" t="n"/>
      <c r="D37" s="193" t="n"/>
      <c r="E37" s="197" t="n"/>
      <c r="F37" s="192" t="n"/>
      <c r="G37" s="193" t="n"/>
      <c r="H37" s="197" t="n"/>
      <c r="I37" s="197" t="n"/>
    </row>
    <row r="38" ht="21.75" customHeight="1" s="314">
      <c r="A38" s="190" t="n"/>
      <c r="B38" s="191" t="n"/>
      <c r="C38" s="192" t="n"/>
      <c r="D38" s="193" t="n"/>
      <c r="E38" s="194" t="n"/>
      <c r="F38" s="192" t="n"/>
      <c r="G38" s="193" t="n"/>
      <c r="H38" s="194" t="n"/>
      <c r="I38" s="194" t="n"/>
    </row>
    <row r="39" ht="21.75" customHeight="1" s="314">
      <c r="A39" s="195" t="n"/>
      <c r="B39" s="196" t="n"/>
      <c r="C39" s="192" t="n"/>
      <c r="D39" s="193" t="n"/>
      <c r="E39" s="197" t="n"/>
      <c r="F39" s="192" t="n"/>
      <c r="G39" s="193" t="n"/>
      <c r="H39" s="197" t="n"/>
      <c r="I39" s="197" t="n"/>
    </row>
    <row r="40" ht="21.75" customHeight="1" s="314">
      <c r="A40" s="190" t="n"/>
      <c r="B40" s="191" t="n"/>
      <c r="C40" s="192" t="n"/>
      <c r="D40" s="193" t="n"/>
      <c r="E40" s="194" t="n"/>
      <c r="F40" s="192" t="n"/>
      <c r="G40" s="193" t="n"/>
      <c r="H40" s="194" t="n"/>
      <c r="I40" s="194" t="n"/>
    </row>
    <row r="41" ht="21.75" customHeight="1" s="314">
      <c r="A41" s="195" t="n"/>
      <c r="B41" s="196" t="n"/>
      <c r="C41" s="192" t="n"/>
      <c r="D41" s="193" t="n"/>
      <c r="E41" s="197" t="n"/>
      <c r="F41" s="192" t="n"/>
      <c r="G41" s="193" t="n"/>
      <c r="H41" s="197" t="n"/>
      <c r="I41" s="197" t="n"/>
    </row>
    <row r="42" ht="21.75" customHeight="1" s="314">
      <c r="A42" s="190" t="n"/>
      <c r="B42" s="191" t="n"/>
      <c r="C42" s="192" t="n"/>
      <c r="D42" s="193" t="n"/>
      <c r="E42" s="194" t="n"/>
      <c r="F42" s="192" t="n"/>
      <c r="G42" s="193" t="n"/>
      <c r="H42" s="194" t="n"/>
      <c r="I42" s="194" t="n"/>
    </row>
    <row r="43" ht="21.75" customHeight="1" s="314">
      <c r="A43" s="195" t="n"/>
      <c r="B43" s="196" t="n"/>
      <c r="C43" s="192" t="n"/>
      <c r="D43" s="193" t="n"/>
      <c r="E43" s="197" t="n"/>
      <c r="F43" s="192" t="n"/>
      <c r="G43" s="193" t="n"/>
      <c r="H43" s="197" t="n"/>
      <c r="I43" s="197" t="n"/>
    </row>
    <row r="44" ht="21.75" customHeight="1" s="314">
      <c r="A44" s="190" t="n"/>
      <c r="B44" s="191" t="n"/>
      <c r="C44" s="192" t="n"/>
      <c r="D44" s="193" t="n"/>
      <c r="E44" s="194" t="n"/>
      <c r="F44" s="192" t="n"/>
      <c r="G44" s="193" t="n"/>
      <c r="H44" s="194" t="n"/>
      <c r="I44" s="194" t="n"/>
    </row>
    <row r="45" ht="21.75" customHeight="1" s="314">
      <c r="A45" s="195" t="n"/>
      <c r="B45" s="196" t="n"/>
      <c r="C45" s="192" t="n"/>
      <c r="D45" s="193" t="n"/>
      <c r="E45" s="197" t="n"/>
      <c r="F45" s="192" t="n"/>
      <c r="G45" s="193" t="n"/>
      <c r="H45" s="197" t="n"/>
      <c r="I45" s="197" t="n"/>
    </row>
    <row r="46" ht="21.75" customHeight="1" s="314">
      <c r="A46" s="190" t="n"/>
      <c r="B46" s="191" t="n"/>
      <c r="C46" s="192" t="n"/>
      <c r="D46" s="193" t="n"/>
      <c r="E46" s="194" t="n"/>
      <c r="F46" s="192" t="n"/>
      <c r="G46" s="193" t="n"/>
      <c r="H46" s="194" t="n"/>
      <c r="I46" s="194" t="n"/>
    </row>
    <row r="47" ht="21.75" customHeight="1" s="314">
      <c r="A47" s="195" t="n"/>
      <c r="B47" s="196" t="n"/>
      <c r="C47" s="192" t="n"/>
      <c r="D47" s="193" t="n"/>
      <c r="E47" s="197" t="n"/>
      <c r="F47" s="192" t="n"/>
      <c r="G47" s="193" t="n"/>
      <c r="H47" s="197" t="n"/>
      <c r="I47" s="197" t="n"/>
    </row>
    <row r="48" ht="21.75" customHeight="1" s="314">
      <c r="A48" s="190" t="n"/>
      <c r="B48" s="191" t="n"/>
      <c r="C48" s="192" t="n"/>
      <c r="D48" s="193" t="n"/>
      <c r="E48" s="194" t="n"/>
      <c r="F48" s="192" t="n"/>
      <c r="G48" s="193" t="n"/>
      <c r="H48" s="194" t="n"/>
      <c r="I48" s="194" t="n"/>
    </row>
    <row r="49" ht="21.75" customHeight="1" s="314">
      <c r="A49" s="195" t="n"/>
      <c r="B49" s="196" t="n"/>
      <c r="C49" s="192" t="n"/>
      <c r="D49" s="193" t="n"/>
      <c r="E49" s="197" t="n"/>
      <c r="F49" s="192" t="n"/>
      <c r="G49" s="193" t="n"/>
      <c r="H49" s="197" t="n"/>
      <c r="I49" s="197" t="n"/>
    </row>
    <row r="50" ht="21.75" customHeight="1" s="314">
      <c r="A50" s="190" t="n"/>
      <c r="B50" s="191" t="n"/>
      <c r="C50" s="192" t="n"/>
      <c r="D50" s="193" t="n"/>
      <c r="E50" s="194" t="n"/>
      <c r="F50" s="192" t="n"/>
      <c r="G50" s="193" t="n"/>
      <c r="H50" s="194" t="n"/>
      <c r="I50" s="194" t="n"/>
    </row>
    <row r="51" ht="21.75" customHeight="1" s="314">
      <c r="A51" s="195" t="n"/>
      <c r="B51" s="196" t="n"/>
      <c r="C51" s="192" t="n"/>
      <c r="D51" s="193" t="n"/>
      <c r="E51" s="197" t="n"/>
      <c r="F51" s="192" t="n"/>
      <c r="G51" s="193" t="n"/>
      <c r="H51" s="197" t="n"/>
      <c r="I51" s="197" t="n"/>
    </row>
    <row r="52" ht="21.75" customHeight="1" s="314">
      <c r="A52" s="190" t="n"/>
      <c r="B52" s="191" t="n"/>
      <c r="C52" s="192" t="n"/>
      <c r="D52" s="193" t="n"/>
      <c r="E52" s="194" t="n"/>
      <c r="F52" s="192" t="n"/>
      <c r="G52" s="193" t="n"/>
      <c r="H52" s="194" t="n"/>
      <c r="I52" s="194" t="n"/>
    </row>
    <row r="53" ht="21.75" customHeight="1" s="314">
      <c r="A53" s="195" t="n"/>
      <c r="B53" s="196" t="n"/>
      <c r="C53" s="192" t="n"/>
      <c r="D53" s="193" t="n"/>
      <c r="E53" s="197" t="n"/>
      <c r="F53" s="192" t="n"/>
      <c r="G53" s="193" t="n"/>
      <c r="H53" s="197" t="n"/>
      <c r="I53" s="197" t="n"/>
    </row>
    <row r="54" ht="21.75" customHeight="1" s="314">
      <c r="A54" s="190" t="n"/>
      <c r="B54" s="191" t="n"/>
      <c r="C54" s="192" t="n"/>
      <c r="D54" s="193" t="n"/>
      <c r="E54" s="194" t="n"/>
      <c r="F54" s="192" t="n"/>
      <c r="G54" s="193" t="n"/>
      <c r="H54" s="194" t="n"/>
      <c r="I54" s="194" t="n"/>
    </row>
    <row r="55" ht="27.75" customHeight="1" s="314">
      <c r="A55" s="198" t="inlineStr">
        <is>
          <t>TOTAL</t>
        </is>
      </c>
      <c r="B55" s="178" t="n"/>
      <c r="C55" s="199">
        <f>SUM(C5:C54)</f>
        <v/>
      </c>
      <c r="D55" s="199">
        <f>SUM(D5:D54)</f>
        <v/>
      </c>
      <c r="E55" s="199">
        <f>SUM(E5:E54)</f>
        <v/>
      </c>
      <c r="F55" s="199">
        <f>SUM(F5:F54)</f>
        <v/>
      </c>
      <c r="G55" s="199">
        <f>SUM(G5:G54)</f>
        <v/>
      </c>
      <c r="H55" s="199">
        <f>SUM(H5:H54)</f>
        <v/>
      </c>
      <c r="I55" s="199">
        <f>SUM(I5:I54)</f>
        <v/>
      </c>
    </row>
  </sheetData>
  <autoFilter ref="A4:I55"/>
  <mergeCells count="3">
    <mergeCell ref="A1:I1"/>
    <mergeCell ref="A8:B8"/>
    <mergeCell ref="A2:I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C00000"/>
    <outlinePr summaryBelow="1" summaryRight="1"/>
    <pageSetUpPr/>
  </sheetPr>
  <dimension ref="A1:J29"/>
  <sheetViews>
    <sheetView showGridLines="0" zoomScaleNormal="100" workbookViewId="0">
      <pane ySplit="2" topLeftCell="A3" activePane="bottomLeft" state="frozen"/>
      <selection pane="bottomLeft" activeCell="C7" sqref="C7"/>
    </sheetView>
  </sheetViews>
  <sheetFormatPr baseColWidth="8" defaultColWidth="8.7109375" defaultRowHeight="15"/>
  <cols>
    <col width="22" customWidth="1" style="314" min="1" max="10"/>
  </cols>
  <sheetData>
    <row r="1" ht="43.5" customHeight="1" s="314">
      <c r="A1" s="300" t="inlineStr">
        <is>
          <t>📊  DASHBOARD RINGKASAN KEUANGAN KLINIK</t>
        </is>
      </c>
    </row>
    <row r="2" ht="19.5" customHeight="1" s="314">
      <c r="A2" s="301" t="inlineStr">
        <is>
          <t>Periode April – Juni 2026   ·   Data real-time dari sheet Data Pasien</t>
        </is>
      </c>
    </row>
    <row r="4" ht="25.5" customHeight="1" s="314">
      <c r="A4" s="302" t="inlineStr">
        <is>
          <t>👥 Total Pasien</t>
        </is>
      </c>
      <c r="B4" s="178" t="n"/>
      <c r="C4" s="303" t="inlineStr">
        <is>
          <t>💰 Total Pendapatan</t>
        </is>
      </c>
      <c r="D4" s="178" t="n"/>
      <c r="E4" s="304" t="inlineStr">
        <is>
          <t>💵 Total Cash</t>
        </is>
      </c>
      <c r="F4" s="178" t="n"/>
      <c r="G4" s="305" t="inlineStr">
        <is>
          <t>🏦 Total Transfer</t>
        </is>
      </c>
      <c r="H4" s="178" t="n"/>
      <c r="I4" s="306" t="inlineStr">
        <is>
          <t>❌ Tidak Ambil Obat</t>
        </is>
      </c>
      <c r="J4" s="178" t="n"/>
    </row>
    <row r="5" ht="27.75" customHeight="1" s="314">
      <c r="A5" s="295">
        <f>COUNTA('📋 Data Pasien'!C7:C1097)</f>
        <v/>
      </c>
      <c r="B5" s="325" t="n"/>
      <c r="C5" s="296">
        <f>E5+G5</f>
        <v/>
      </c>
      <c r="D5" s="325" t="n"/>
      <c r="E5" s="297">
        <f>SUMIF('📋 Data Pasien'!E7:E1097,"Cash",'📋 Data Pasien'!D7:D1097)+SUMIF('📋 Data Pasien'!H7:H1097,"Cash",'📋 Data Pasien'!G7:G1097)</f>
        <v/>
      </c>
      <c r="F5" s="325" t="n"/>
      <c r="G5" s="298">
        <f>SUMIF('📋 Data Pasien'!E7:E1097,"Transfer Bank",'📋 Data Pasien'!D7:D1097)+SUMIF('📋 Data Pasien'!H7:H1097,"Transfer Bank",'📋 Data Pasien'!G7:G1097)</f>
        <v/>
      </c>
      <c r="H5" s="325" t="n"/>
      <c r="I5" s="299">
        <f>COUNTIF('📋 Data Pasien'!F7:F1097,"Tidak Ambil Obat")</f>
        <v/>
      </c>
      <c r="J5" s="325" t="n"/>
    </row>
    <row r="6" ht="27.75" customHeight="1" s="314">
      <c r="A6" s="326" t="n"/>
      <c r="C6" s="326" t="n"/>
      <c r="E6" s="326" t="n"/>
      <c r="G6" s="326" t="n"/>
      <c r="I6" s="326" t="n"/>
    </row>
    <row r="7" ht="18" customHeight="1" s="314">
      <c r="A7" s="294" t="inlineStr">
        <is>
          <t>pasien tercatat</t>
        </is>
      </c>
      <c r="B7" s="178" t="n"/>
      <c r="C7" s="294" t="inlineStr">
        <is>
          <t>dokter + obat (ambil)</t>
        </is>
      </c>
      <c r="D7" s="178" t="n"/>
      <c r="E7" s="294" t="inlineStr">
        <is>
          <t>semua cash</t>
        </is>
      </c>
      <c r="F7" s="178" t="n"/>
      <c r="G7" s="294" t="inlineStr">
        <is>
          <t>semua transfer bank</t>
        </is>
      </c>
      <c r="H7" s="178" t="n"/>
      <c r="I7" s="294" t="inlineStr">
        <is>
          <t>pasien (obat tidak dihitung)</t>
        </is>
      </c>
      <c r="J7" s="178" t="n"/>
    </row>
    <row r="9" ht="25.5" customHeight="1" s="314">
      <c r="A9" s="292" t="inlineStr">
        <is>
          <t>BREAKDOWN JENIS PEMBAYARAN</t>
        </is>
      </c>
      <c r="B9" s="178" t="n"/>
      <c r="C9" s="178" t="n"/>
      <c r="D9" s="178" t="n"/>
    </row>
    <row r="10" ht="25.5" customHeight="1" s="314">
      <c r="A10" s="200" t="inlineStr">
        <is>
          <t>Jenis Bayar</t>
        </is>
      </c>
      <c r="B10" s="200" t="inlineStr">
        <is>
          <t>Biaya Dokter (Rp)</t>
        </is>
      </c>
      <c r="C10" s="200" t="inlineStr">
        <is>
          <t>Biaya Obat (Rp)</t>
        </is>
      </c>
      <c r="D10" s="200" t="inlineStr">
        <is>
          <t>Total (Rp)</t>
        </is>
      </c>
    </row>
    <row r="11" ht="24" customHeight="1" s="314">
      <c r="A11" s="201" t="inlineStr">
        <is>
          <t>💵 Cash</t>
        </is>
      </c>
      <c r="B11" s="202">
        <f>SUMIF('📋 Data Pasien'!E7:E1097,"Cash",'📋 Data Pasien'!D7:D1097)</f>
        <v/>
      </c>
      <c r="C11" s="202">
        <f>SUMIF('📋 Data Pasien'!H7:H1097,"Cash",'📋 Data Pasien'!G7:G1097)</f>
        <v/>
      </c>
      <c r="D11" s="202">
        <f>B11+C11</f>
        <v/>
      </c>
    </row>
    <row r="12" ht="24" customHeight="1" s="314">
      <c r="A12" s="203" t="inlineStr">
        <is>
          <t>🏦 Transfer Bank</t>
        </is>
      </c>
      <c r="B12" s="204">
        <f>SUMIF('📋 Data Pasien'!E7:E1097,"Transfer Bank",'📋 Data Pasien'!D7:D1097)</f>
        <v/>
      </c>
      <c r="C12" s="204">
        <f>SUMIF('📋 Data Pasien'!H7:H1097,"Transfer Bank",'📋 Data Pasien'!G7:G1097)</f>
        <v/>
      </c>
      <c r="D12" s="204">
        <f>B12+C12</f>
        <v/>
      </c>
    </row>
    <row r="13" ht="24" customHeight="1" s="314">
      <c r="A13" s="205" t="inlineStr">
        <is>
          <t>📊 TOTAL</t>
        </is>
      </c>
      <c r="B13" s="206">
        <f>B11+B12</f>
        <v/>
      </c>
      <c r="C13" s="206">
        <f>C11+C12</f>
        <v/>
      </c>
      <c r="D13" s="206">
        <f>D11+D12</f>
        <v/>
      </c>
    </row>
    <row r="14" ht="3.75" customHeight="1" s="314">
      <c r="A14" s="241" t="n"/>
    </row>
    <row r="15" ht="30" customHeight="1" s="314">
      <c r="A15" s="293" t="inlineStr">
        <is>
          <t>💳  DETAIL TOTAL CASH &amp; TRANSFER BANK</t>
        </is>
      </c>
      <c r="B15" s="322" t="n"/>
      <c r="C15" s="322" t="n"/>
      <c r="D15" s="322" t="n"/>
      <c r="E15" s="322" t="n"/>
      <c r="F15" s="322" t="n"/>
      <c r="G15" s="322" t="n"/>
      <c r="H15" s="322" t="n"/>
      <c r="I15" s="322" t="n"/>
      <c r="J15" s="322" t="n"/>
    </row>
    <row r="16" ht="31.5" customHeight="1" s="314">
      <c r="A16" s="165" t="inlineStr">
        <is>
          <t>Jenis Pembayaran</t>
        </is>
      </c>
      <c r="B16" s="165" t="inlineStr">
        <is>
          <t>Biaya Dokter (Rp)</t>
        </is>
      </c>
      <c r="C16" s="165" t="inlineStr">
        <is>
          <t>Jml Transaksi Dokter</t>
        </is>
      </c>
      <c r="D16" s="165" t="inlineStr">
        <is>
          <t>Biaya Obat (Rp)</t>
        </is>
      </c>
      <c r="E16" s="165" t="inlineStr">
        <is>
          <t>Jml Transaksi Obat</t>
        </is>
      </c>
      <c r="F16" s="165" t="inlineStr">
        <is>
          <t>GRAND TOTAL (Rp)</t>
        </is>
      </c>
      <c r="G16" s="165" t="inlineStr">
        <is>
          <t>% dari Total</t>
        </is>
      </c>
      <c r="H16" s="55" t="n"/>
      <c r="I16" s="55" t="n"/>
      <c r="J16" s="55" t="n"/>
    </row>
    <row r="17" ht="25.5" customHeight="1" s="314">
      <c r="A17" s="207" t="inlineStr">
        <is>
          <t>💵  CASH</t>
        </is>
      </c>
      <c r="B17" s="39">
        <f>SUMIF('📋 Data Pasien'!E7:E1097,"Cash",'📋 Data Pasien'!D7:D1097)</f>
        <v/>
      </c>
      <c r="C17" s="40">
        <f>COUNTIF('📋 Data Pasien'!E7:E1097,"Cash")&amp;" transaksi"</f>
        <v/>
      </c>
      <c r="D17" s="39">
        <f>SUMIF('📋 Data Pasien'!H7:H1097,"Cash",'📋 Data Pasien'!G7:G1097)</f>
        <v/>
      </c>
      <c r="E17" s="40">
        <f>COUNTIF('📋 Data Pasien'!H7:H1097,"Cash")&amp;" transaksi"</f>
        <v/>
      </c>
      <c r="F17" s="20">
        <f>SUMIF('📋 Data Pasien'!E7:E1097,"Cash",'📋 Data Pasien'!D7:D1097)+SUMIF('📋 Data Pasien'!H7:H1097,"Cash",'📋 Data Pasien'!G7:G1097)</f>
        <v/>
      </c>
      <c r="G17" s="208">
        <f>IF(F19=0,"",F17/F19)</f>
        <v/>
      </c>
      <c r="H17" s="55" t="n"/>
      <c r="I17" s="55" t="n"/>
      <c r="J17" s="55" t="n"/>
    </row>
    <row r="18" ht="25.5" customHeight="1" s="314">
      <c r="A18" s="209" t="inlineStr">
        <is>
          <t>🏦  TRANSFER BANK</t>
        </is>
      </c>
      <c r="B18" s="43">
        <f>SUMIF('📋 Data Pasien'!E7:E1097,"Transfer Bank",'📋 Data Pasien'!D7:D1097)</f>
        <v/>
      </c>
      <c r="C18" s="44">
        <f>COUNTIF('📋 Data Pasien'!E7:E1097,"Transfer Bank")&amp;" transaksi"</f>
        <v/>
      </c>
      <c r="D18" s="43">
        <f>SUMIF('📋 Data Pasien'!H7:H1097,"Transfer Bank",'📋 Data Pasien'!G7:G1097)</f>
        <v/>
      </c>
      <c r="E18" s="44">
        <f>COUNTIF('📋 Data Pasien'!H7:H1097,"Transfer Bank")&amp;" transaksi"</f>
        <v/>
      </c>
      <c r="F18" s="21">
        <f>SUMIF('📋 Data Pasien'!E7:E1097,"Transfer Bank",'📋 Data Pasien'!D7:D1097)+SUMIF('📋 Data Pasien'!H7:H1097,"Transfer Bank",'📋 Data Pasien'!G7:G1097)</f>
        <v/>
      </c>
      <c r="G18" s="46">
        <f>IF(F19=0,"",F18/F19)</f>
        <v/>
      </c>
      <c r="H18" s="55" t="n"/>
      <c r="I18" s="55" t="n"/>
      <c r="J18" s="55" t="n"/>
    </row>
    <row r="19" ht="27.75" customHeight="1" s="314">
      <c r="A19" s="210" t="inlineStr">
        <is>
          <t>📊  GRAND TOTAL</t>
        </is>
      </c>
      <c r="B19" s="211">
        <f>B17+B18</f>
        <v/>
      </c>
      <c r="C19" s="212">
        <f>COUNTA('📋 Data Pasien'!E7:E1097)</f>
        <v/>
      </c>
      <c r="D19" s="211">
        <f>D17+D18</f>
        <v/>
      </c>
      <c r="E19" s="212">
        <f>COUNTA('📋 Data Pasien'!H7:H1097)</f>
        <v/>
      </c>
      <c r="F19" s="173">
        <f>F17+F18</f>
        <v/>
      </c>
      <c r="G19" s="213" t="inlineStr">
        <is>
          <t>"100.0%"</t>
        </is>
      </c>
      <c r="H19" s="55" t="n"/>
      <c r="I19" s="55" t="n"/>
      <c r="J19" s="55" t="n"/>
    </row>
    <row r="20" ht="15" customHeight="1" s="314">
      <c r="A20" s="55" t="n"/>
      <c r="B20" s="55" t="n"/>
      <c r="C20" s="55" t="n"/>
      <c r="D20" s="55" t="n"/>
      <c r="E20" s="55" t="n"/>
      <c r="F20" s="55" t="n"/>
      <c r="G20" s="55" t="n"/>
      <c r="H20" s="55" t="n"/>
      <c r="I20" s="55" t="n"/>
      <c r="J20" s="55" t="n"/>
    </row>
    <row r="21" ht="15" customHeight="1" s="314">
      <c r="A21" s="55" t="n"/>
      <c r="B21" s="55" t="n"/>
      <c r="C21" s="55" t="n"/>
      <c r="D21" s="55" t="n"/>
      <c r="E21" s="55" t="n"/>
      <c r="F21" s="55" t="n"/>
      <c r="G21" s="55" t="n"/>
      <c r="H21" s="55" t="n"/>
      <c r="I21" s="55" t="n"/>
      <c r="J21" s="55" t="n"/>
    </row>
    <row r="22" ht="15" customHeight="1" s="314">
      <c r="A22" s="55" t="n"/>
      <c r="B22" s="55" t="n"/>
      <c r="C22" s="55" t="n"/>
      <c r="D22" s="55" t="n"/>
      <c r="E22" s="55" t="n"/>
      <c r="F22" s="55" t="n"/>
      <c r="G22" s="55" t="n"/>
      <c r="H22" s="55" t="n"/>
      <c r="I22" s="55" t="n"/>
      <c r="J22" s="55" t="n"/>
    </row>
    <row r="23" ht="15" customHeight="1" s="314">
      <c r="A23" s="55" t="n"/>
      <c r="B23" s="55" t="n"/>
      <c r="C23" s="55" t="n"/>
      <c r="D23" s="55" t="n"/>
      <c r="E23" s="55" t="n"/>
      <c r="F23" s="55" t="n"/>
      <c r="G23" s="55" t="n"/>
      <c r="H23" s="55" t="n"/>
      <c r="I23" s="55" t="n"/>
      <c r="J23" s="55" t="n"/>
    </row>
    <row r="24" ht="15" customHeight="1" s="314">
      <c r="A24" s="55" t="n"/>
      <c r="B24" s="55" t="n"/>
      <c r="C24" s="55" t="n"/>
      <c r="D24" s="55" t="n"/>
      <c r="E24" s="55" t="n"/>
      <c r="F24" s="55" t="n"/>
      <c r="G24" s="55" t="n"/>
      <c r="H24" s="55" t="n"/>
      <c r="I24" s="55" t="n"/>
      <c r="J24" s="55" t="n"/>
    </row>
    <row r="25" ht="15" customHeight="1" s="314">
      <c r="A25" s="55" t="n"/>
      <c r="B25" s="55" t="n"/>
      <c r="C25" s="55" t="n"/>
      <c r="D25" s="55" t="n"/>
      <c r="E25" s="55" t="n"/>
      <c r="F25" s="55" t="n"/>
      <c r="G25" s="55" t="n"/>
      <c r="H25" s="55" t="n"/>
      <c r="I25" s="55" t="n"/>
      <c r="J25" s="55" t="n"/>
    </row>
    <row r="26" ht="15" customHeight="1" s="314">
      <c r="A26" s="55" t="n"/>
      <c r="B26" s="55" t="n"/>
      <c r="C26" s="55" t="n"/>
      <c r="D26" s="55" t="n"/>
      <c r="E26" s="55" t="n"/>
      <c r="F26" s="55" t="n"/>
      <c r="G26" s="55" t="n"/>
      <c r="H26" s="55" t="n"/>
      <c r="I26" s="55" t="n"/>
      <c r="J26" s="55" t="n"/>
    </row>
    <row r="27" ht="15" customHeight="1" s="314">
      <c r="A27" s="55" t="n"/>
      <c r="B27" s="55" t="n"/>
      <c r="C27" s="55" t="n"/>
      <c r="D27" s="55" t="n"/>
      <c r="E27" s="55" t="n"/>
      <c r="F27" s="55" t="n"/>
      <c r="G27" s="55" t="n"/>
      <c r="H27" s="55" t="n"/>
      <c r="I27" s="55" t="n"/>
      <c r="J27" s="55" t="n"/>
    </row>
    <row r="28" ht="15" customHeight="1" s="314">
      <c r="A28" s="55" t="n"/>
      <c r="B28" s="55" t="n"/>
      <c r="C28" s="55" t="n"/>
      <c r="D28" s="55" t="n"/>
      <c r="E28" s="55" t="n"/>
      <c r="F28" s="55" t="n"/>
      <c r="G28" s="55" t="n"/>
      <c r="H28" s="55" t="n"/>
      <c r="I28" s="55" t="n"/>
      <c r="J28" s="55" t="n"/>
    </row>
    <row r="29" ht="15" customHeight="1" s="314">
      <c r="A29" s="55" t="n"/>
      <c r="B29" s="55" t="n"/>
      <c r="C29" s="55" t="n"/>
      <c r="D29" s="55" t="n"/>
      <c r="E29" s="55" t="n"/>
      <c r="F29" s="55" t="n"/>
      <c r="G29" s="55" t="n"/>
      <c r="H29" s="55" t="n"/>
      <c r="I29" s="55" t="n"/>
      <c r="J29" s="55" t="n"/>
    </row>
  </sheetData>
  <mergeCells count="20">
    <mergeCell ref="A14:J14"/>
    <mergeCell ref="A5:B6"/>
    <mergeCell ref="G5:H6"/>
    <mergeCell ref="I5:J6"/>
    <mergeCell ref="C4:D4"/>
    <mergeCell ref="E4:F4"/>
    <mergeCell ref="A9:D9"/>
    <mergeCell ref="A7:B7"/>
    <mergeCell ref="G7:H7"/>
    <mergeCell ref="I7:J7"/>
    <mergeCell ref="A15:J15"/>
    <mergeCell ref="A1:J1"/>
    <mergeCell ref="C5:D6"/>
    <mergeCell ref="E5:F6"/>
    <mergeCell ref="A4:B4"/>
    <mergeCell ref="G4:H4"/>
    <mergeCell ref="I4:J4"/>
    <mergeCell ref="C7:D7"/>
    <mergeCell ref="E7:F7"/>
    <mergeCell ref="A2:J2"/>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D21"/>
  <sheetViews>
    <sheetView zoomScaleNormal="100" workbookViewId="0">
      <selection activeCell="A17" sqref="A17"/>
    </sheetView>
  </sheetViews>
  <sheetFormatPr baseColWidth="8" defaultColWidth="8.7109375" defaultRowHeight="15"/>
  <cols>
    <col width="32" customWidth="1" style="314" min="1" max="1"/>
    <col width="22" customWidth="1" style="314" min="2" max="3"/>
    <col width="30" customWidth="1" style="314" min="4" max="4"/>
  </cols>
  <sheetData>
    <row r="1" ht="30" customHeight="1" s="314">
      <c r="A1" s="308" t="inlineStr">
        <is>
          <t>KLINIK – ASUMSI DOKTER FEE</t>
        </is>
      </c>
    </row>
    <row r="3" ht="19.5" customHeight="1" s="314">
      <c r="A3" s="309" t="inlineStr">
        <is>
          <t>JADWAL PRAKTEK DOKTER</t>
        </is>
      </c>
      <c r="B3" s="327" t="n"/>
      <c r="C3" s="327" t="n"/>
      <c r="D3" s="327" t="n"/>
    </row>
    <row r="4" ht="15" customHeight="1" s="314">
      <c r="A4" s="214" t="inlineStr">
        <is>
          <t>DOKTER</t>
        </is>
      </c>
      <c r="B4" s="214" t="inlineStr">
        <is>
          <t>HARI PRAKTEK</t>
        </is>
      </c>
      <c r="C4" s="214" t="inlineStr">
        <is>
          <t>KETERANGAN</t>
        </is>
      </c>
    </row>
    <row r="5" ht="25.5" customHeight="1" s="314">
      <c r="A5" s="215" t="inlineStr">
        <is>
          <t>dr. ARIF</t>
        </is>
      </c>
      <c r="B5" s="216" t="inlineStr">
        <is>
          <t>Rabu, Kamis</t>
        </is>
      </c>
      <c r="C5" s="217" t="inlineStr">
        <is>
          <t>2 hari/minggu</t>
        </is>
      </c>
    </row>
    <row r="6" ht="15" customHeight="1" s="314">
      <c r="A6" s="218" t="inlineStr">
        <is>
          <t>dr. HAWA</t>
        </is>
      </c>
      <c r="B6" s="219" t="inlineStr">
        <is>
          <t>Selasa, Sabtu, Minggu</t>
        </is>
      </c>
      <c r="C6" s="220" t="inlineStr">
        <is>
          <t>3 hari/minggu</t>
        </is>
      </c>
    </row>
    <row r="7" ht="15" customHeight="1" s="314">
      <c r="A7" s="218" t="inlineStr">
        <is>
          <t>dr. JOJO</t>
        </is>
      </c>
      <c r="B7" s="219" t="inlineStr">
        <is>
          <t>Senin, Jumat</t>
        </is>
      </c>
      <c r="C7" s="220" t="inlineStr">
        <is>
          <t>2 hari/minggu</t>
        </is>
      </c>
    </row>
    <row r="9" ht="19.5" customHeight="1" s="314">
      <c r="A9" s="309" t="inlineStr">
        <is>
          <t>STRUKTUR DOKTER FEE</t>
        </is>
      </c>
      <c r="B9" s="327" t="n"/>
      <c r="C9" s="327" t="n"/>
      <c r="D9" s="327" t="n"/>
    </row>
    <row r="10" ht="15" customHeight="1" s="314">
      <c r="A10" s="214" t="inlineStr">
        <is>
          <t>JENIS LAYANAN</t>
        </is>
      </c>
      <c r="B10" s="214" t="inlineStr">
        <is>
          <t>DOKTER FEE TOTAL</t>
        </is>
      </c>
      <c r="C10" s="214" t="inlineStr">
        <is>
          <t>BAGIAN DOKTER</t>
        </is>
      </c>
      <c r="D10" s="214" t="inlineStr">
        <is>
          <t>BAGIAN KLINIK</t>
        </is>
      </c>
    </row>
    <row r="11" ht="18" customHeight="1" s="314">
      <c r="A11" s="221" t="inlineStr">
        <is>
          <t>Konsultasi (tanpa tindakan)</t>
        </is>
      </c>
      <c r="B11" s="222" t="n">
        <v>150000</v>
      </c>
      <c r="C11" s="223" t="n">
        <v>105000</v>
      </c>
      <c r="D11" s="224">
        <f>B11-C11</f>
        <v/>
      </c>
    </row>
    <row r="12" ht="18" customHeight="1" s="314">
      <c r="A12" s="225" t="inlineStr">
        <is>
          <t>Konsultasi + Tindakan</t>
        </is>
      </c>
      <c r="B12" s="226" t="n">
        <v>200000</v>
      </c>
      <c r="C12" s="223" t="n">
        <v>130000</v>
      </c>
      <c r="D12" s="224">
        <f>B12-C12</f>
        <v/>
      </c>
    </row>
    <row r="13" ht="18" customHeight="1" s="314">
      <c r="A13" s="225" t="inlineStr">
        <is>
          <t>Konsultasi + Tindakan</t>
        </is>
      </c>
      <c r="B13" s="226" t="n">
        <v>250000</v>
      </c>
      <c r="C13" s="227" t="n">
        <v>155000</v>
      </c>
      <c r="D13" s="224">
        <f>B13-C13</f>
        <v/>
      </c>
    </row>
    <row r="14" ht="18" customHeight="1" s="314">
      <c r="A14" s="225" t="inlineStr">
        <is>
          <t>Konsultasi + Tindakan</t>
        </is>
      </c>
      <c r="B14" s="226" t="n">
        <v>300000</v>
      </c>
      <c r="C14" s="227" t="n">
        <v>180000</v>
      </c>
      <c r="D14" s="224">
        <f>B14-C14</f>
        <v/>
      </c>
    </row>
    <row r="17" ht="15" customHeight="1" s="314">
      <c r="A17" s="309" t="inlineStr">
        <is>
          <t>CATATAN ASUMSI</t>
        </is>
      </c>
      <c r="B17" s="327" t="n"/>
      <c r="C17" s="327" t="n"/>
      <c r="D17" s="327" t="n"/>
    </row>
    <row r="18" ht="18" customHeight="1" s="314">
      <c r="A18" s="307" t="inlineStr">
        <is>
          <t>• Fee 150.000: Pasien konsultasi tanpa tindakan medis</t>
        </is>
      </c>
      <c r="B18" s="327" t="n"/>
      <c r="C18" s="327" t="n"/>
      <c r="D18" s="327" t="n"/>
    </row>
    <row r="19" ht="18" customHeight="1" s="314">
      <c r="A19" s="307" t="inlineStr">
        <is>
          <t>• Fee 200.000: Pasien konsultasi disertai tindakan medis</t>
        </is>
      </c>
      <c r="B19" s="327" t="n"/>
      <c r="C19" s="327" t="n"/>
      <c r="D19" s="327" t="n"/>
    </row>
    <row r="20" ht="18" customHeight="1" s="314">
      <c r="A20" s="307" t="inlineStr">
        <is>
          <t>• Pembagian bersifat tetap (fixed split) per jenis layanan</t>
        </is>
      </c>
      <c r="B20" s="327" t="n"/>
      <c r="C20" s="327" t="n"/>
      <c r="D20" s="327" t="n"/>
    </row>
    <row r="21" ht="18" customHeight="1" s="314">
      <c r="A21" s="307" t="inlineStr">
        <is>
          <t>• Data dapat diubah di sheet 'Input Harian'</t>
        </is>
      </c>
      <c r="B21" s="327" t="n"/>
      <c r="C21" s="327" t="n"/>
      <c r="D21" s="327" t="n"/>
    </row>
  </sheetData>
  <mergeCells count="8">
    <mergeCell ref="A1:D1"/>
    <mergeCell ref="A17:D17"/>
    <mergeCell ref="A9:D9"/>
    <mergeCell ref="A18:D18"/>
    <mergeCell ref="A3:D3"/>
    <mergeCell ref="A21:D21"/>
    <mergeCell ref="A20:D20"/>
    <mergeCell ref="A19:D19"/>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595959"/>
    <outlinePr summaryBelow="1" summaryRight="1"/>
    <pageSetUpPr/>
  </sheetPr>
  <dimension ref="A1:D12"/>
  <sheetViews>
    <sheetView showGridLines="0" zoomScaleNormal="100" workbookViewId="0">
      <selection activeCell="A1" sqref="A1"/>
    </sheetView>
  </sheetViews>
  <sheetFormatPr baseColWidth="8" defaultColWidth="8.7109375" defaultRowHeight="15"/>
  <cols>
    <col width="22" customWidth="1" style="314" min="1" max="4"/>
  </cols>
  <sheetData>
    <row r="1" ht="36" customHeight="1" s="314">
      <c r="A1" s="310" t="inlineStr">
        <is>
          <t>⚙️  MASTER DATA — Kustomisasi dropdown</t>
        </is>
      </c>
    </row>
    <row r="3" ht="25.5" customHeight="1" s="314">
      <c r="A3" s="228" t="inlineStr">
        <is>
          <t>Status Obat</t>
        </is>
      </c>
      <c r="B3" s="228" t="inlineStr">
        <is>
          <t>Keterangan</t>
        </is>
      </c>
      <c r="C3" s="228" t="inlineStr">
        <is>
          <t>Pembayaran</t>
        </is>
      </c>
      <c r="D3" s="228" t="inlineStr">
        <is>
          <t>Nama Bank</t>
        </is>
      </c>
    </row>
    <row r="4" ht="19.5" customHeight="1" s="314">
      <c r="A4" s="229" t="inlineStr">
        <is>
          <t>Ambil Obat</t>
        </is>
      </c>
      <c r="B4" s="229" t="inlineStr">
        <is>
          <t>Konsultasi</t>
        </is>
      </c>
      <c r="C4" s="229" t="inlineStr">
        <is>
          <t>Cash</t>
        </is>
      </c>
      <c r="D4" s="229" t="inlineStr">
        <is>
          <t>BCA</t>
        </is>
      </c>
    </row>
    <row r="5" ht="19.5" customHeight="1" s="314">
      <c r="A5" s="230" t="inlineStr">
        <is>
          <t>Tidak Ambil Obat</t>
        </is>
      </c>
      <c r="B5" s="230" t="inlineStr">
        <is>
          <t>Rawat Jalan</t>
        </is>
      </c>
      <c r="C5" s="230" t="inlineStr">
        <is>
          <t>Transfer Bank</t>
        </is>
      </c>
      <c r="D5" s="230" t="inlineStr">
        <is>
          <t>BNI</t>
        </is>
      </c>
    </row>
    <row r="6" ht="19.5" customHeight="1" s="314">
      <c r="B6" s="229" t="inlineStr">
        <is>
          <t>Follow Up</t>
        </is>
      </c>
      <c r="D6" s="229" t="inlineStr">
        <is>
          <t>BRI</t>
        </is>
      </c>
    </row>
    <row r="7" ht="19.5" customHeight="1" s="314">
      <c r="B7" s="230" t="inlineStr">
        <is>
          <t>Kontrol Rutin</t>
        </is>
      </c>
      <c r="D7" s="230" t="inlineStr">
        <is>
          <t>Mandiri</t>
        </is>
      </c>
    </row>
    <row r="8" ht="19.5" customHeight="1" s="314">
      <c r="B8" s="229" t="inlineStr">
        <is>
          <t>Pemeriksaan Umum</t>
        </is>
      </c>
      <c r="D8" s="229" t="inlineStr">
        <is>
          <t>BSI</t>
        </is>
      </c>
    </row>
    <row r="9" ht="19.5" customHeight="1" s="314">
      <c r="B9" s="230" t="inlineStr">
        <is>
          <t>Pemeriksaan Lab</t>
        </is>
      </c>
      <c r="D9" s="230" t="inlineStr">
        <is>
          <t>CIMB</t>
        </is>
      </c>
    </row>
    <row r="10" ht="19.5" customHeight="1" s="314">
      <c r="B10" s="229" t="inlineStr">
        <is>
          <t>Vaksinasi</t>
        </is>
      </c>
      <c r="D10" s="229" t="inlineStr">
        <is>
          <t>Danamon</t>
        </is>
      </c>
    </row>
    <row r="11" ht="19.5" customHeight="1" s="314">
      <c r="B11" s="230" t="inlineStr">
        <is>
          <t>Tindakan</t>
        </is>
      </c>
    </row>
    <row r="12" ht="19.5" customHeight="1" s="314">
      <c r="B12" s="229" t="inlineStr">
        <is>
          <t>Lainnya</t>
        </is>
      </c>
    </row>
  </sheetData>
  <mergeCells count="1">
    <mergeCell ref="A1:D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4A235A"/>
    <outlinePr summaryBelow="1" summaryRight="1"/>
    <pageSetUpPr/>
  </sheetPr>
  <dimension ref="A1:C26"/>
  <sheetViews>
    <sheetView showGridLines="0" topLeftCell="A10" zoomScaleNormal="100" workbookViewId="0">
      <selection activeCell="A1" sqref="A1"/>
    </sheetView>
  </sheetViews>
  <sheetFormatPr baseColWidth="8" defaultColWidth="8.7109375" defaultRowHeight="15"/>
  <cols>
    <col width="4" customWidth="1" style="314" min="1" max="1"/>
    <col width="28" customWidth="1" style="314" min="2" max="2"/>
    <col width="62" customWidth="1" style="314" min="3" max="3"/>
  </cols>
  <sheetData>
    <row r="1" ht="42" customHeight="1" s="314">
      <c r="A1" s="313" t="inlineStr">
        <is>
          <t>📌  PANDUAN PENGGUNAAN SISTEM</t>
        </is>
      </c>
    </row>
    <row r="3" ht="25.5" customHeight="1" s="314">
      <c r="A3" s="312" t="inlineStr">
        <is>
          <t xml:space="preserve">  📅 Struktur Blok per Tanggal</t>
        </is>
      </c>
      <c r="B3" s="178" t="n"/>
      <c r="C3" s="178" t="n"/>
    </row>
    <row r="4" ht="19.5" customHeight="1" s="314">
      <c r="A4" s="311" t="inlineStr">
        <is>
          <t xml:space="preserve">   Sheet Data Pasien sudah dibagi menjadi blok per hari (April – Juni 2026).
Setiap hari memiliki:
• 1 baris header hijau tua → nama hari &amp; tanggal
• 15 baris input kosong → isi Nama, Biaya, Jenis Bayar, Status Obat
• 1 baris subtotal biru tua → muncul otomatis saat data diisi</t>
        </is>
      </c>
      <c r="B4" s="325" t="n"/>
      <c r="C4" s="325" t="n"/>
    </row>
    <row r="5" ht="19.5" customHeight="1" s="314">
      <c r="A5" s="326" t="n"/>
    </row>
    <row r="6" ht="19.5" customHeight="1" s="314">
      <c r="A6" s="326" t="n"/>
    </row>
    <row r="8" ht="25.5" customHeight="1" s="314">
      <c r="A8" s="312" t="inlineStr">
        <is>
          <t xml:space="preserve">  📊 Subtotal Otomatis</t>
        </is>
      </c>
      <c r="B8" s="178" t="n"/>
      <c r="C8" s="178" t="n"/>
    </row>
    <row r="9" ht="19.5" customHeight="1" s="314">
      <c r="A9" s="311" t="inlineStr">
        <is>
          <t xml:space="preserve">   Baris subtotal (🔵 biru tua) muncul otomatis di akhir setiap tanggal.
Jika belum ada data, subtotal menampilkan '— belum ada data —'.
Begitu nama pasien pertama diisi, subtotal langsung menampilkan:
• Total Biaya Dokter  •  Ringkasan Cash/Transfer
• Total Biaya Obat (hanya Ambil Obat)  •  Grand Total hari itu (kuning emas)</t>
        </is>
      </c>
      <c r="B9" s="325" t="n"/>
      <c r="C9" s="325" t="n"/>
    </row>
    <row r="10" ht="19.5" customHeight="1" s="314">
      <c r="A10" s="326" t="n"/>
    </row>
    <row r="11" ht="19.5" customHeight="1" s="314">
      <c r="A11" s="326" t="n"/>
    </row>
    <row r="13" ht="25.5" customHeight="1" s="314">
      <c r="A13" s="312" t="inlineStr">
        <is>
          <t xml:space="preserve">  🟡🔵 Warna Jenis Bayar Otomatis</t>
        </is>
      </c>
      <c r="B13" s="178" t="n"/>
      <c r="C13" s="178" t="n"/>
    </row>
    <row r="14" ht="19.5" customHeight="1" s="314">
      <c r="A14" s="311" t="inlineStr">
        <is>
          <t xml:space="preserve">   Pilih Cash → sel Biaya &amp; Jenis Bayar berubah KUNING otomatis
Pilih Transfer Bank → berubah BIRU otomatis
Berlaku independen untuk Dokter (D+E) dan Obat (G+H)</t>
        </is>
      </c>
      <c r="B14" s="325" t="n"/>
      <c r="C14" s="325" t="n"/>
    </row>
    <row r="15" ht="19.5" customHeight="1" s="314">
      <c r="A15" s="326" t="n"/>
    </row>
    <row r="16" ht="19.5" customHeight="1" s="314">
      <c r="A16" s="326" t="n"/>
    </row>
    <row r="18" ht="25.5" customHeight="1" s="314">
      <c r="A18" s="312" t="inlineStr">
        <is>
          <t xml:space="preserve">  🔴 Tidak Ambil Obat</t>
        </is>
      </c>
      <c r="B18" s="178" t="n"/>
      <c r="C18" s="178" t="n"/>
    </row>
    <row r="19" ht="19.5" customHeight="1" s="314">
      <c r="A19" s="311" t="inlineStr">
        <is>
          <t xml:space="preserve">   Pilih 'Tidak Ambil Obat' di kolom F:
→ Seluruh baris merah  →  Biaya Obat dicoret
→  Total = hanya biaya dokter (obat tidak dihitung)</t>
        </is>
      </c>
      <c r="B19" s="325" t="n"/>
      <c r="C19" s="325" t="n"/>
    </row>
    <row r="20" ht="19.5" customHeight="1" s="314">
      <c r="A20" s="326" t="n"/>
    </row>
    <row r="21" ht="19.5" customHeight="1" s="314">
      <c r="A21" s="326" t="n"/>
    </row>
    <row r="23" ht="25.5" customHeight="1" s="314">
      <c r="A23" s="312" t="inlineStr">
        <is>
          <t xml:space="preserve">  💰 Format Accounting</t>
        </is>
      </c>
      <c r="B23" s="178" t="n"/>
      <c r="C23" s="178" t="n"/>
    </row>
    <row r="24" ht="19.5" customHeight="1" s="314">
      <c r="A24" s="311" t="inlineStr">
        <is>
          <t xml:space="preserve">   Semua angka menggunakan format Accounting:
• Rp rata kiri, angka rata kanan
• Nol = tanda  -
• Negatif = (250.000) dalam kurung</t>
        </is>
      </c>
      <c r="B24" s="325" t="n"/>
      <c r="C24" s="325" t="n"/>
    </row>
    <row r="25" ht="19.5" customHeight="1" s="314">
      <c r="A25" s="326" t="n"/>
    </row>
    <row r="26" ht="19.5" customHeight="1" s="314">
      <c r="A26" s="326" t="n"/>
    </row>
  </sheetData>
  <mergeCells count="11">
    <mergeCell ref="A24:C26"/>
    <mergeCell ref="A14:C16"/>
    <mergeCell ref="A13:C13"/>
    <mergeCell ref="A1:C1"/>
    <mergeCell ref="A9:C11"/>
    <mergeCell ref="A23:C23"/>
    <mergeCell ref="A8:C8"/>
    <mergeCell ref="A4:C6"/>
    <mergeCell ref="A18:C18"/>
    <mergeCell ref="A3:C3"/>
    <mergeCell ref="A19:C2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weeeweee063@gmail.com</dc:creator>
  <dc:language xmlns:dc="http://purl.org/dc/elements/1.1/">en-US</dc:language>
  <dcterms:created xmlns:dcterms="http://purl.org/dc/terms/" xmlns:xsi="http://www.w3.org/2001/XMLSchema-instance" xsi:type="dcterms:W3CDTF">2026-03-26T08:56:10Z</dcterms:created>
  <dcterms:modified xmlns:dcterms="http://purl.org/dc/terms/" xmlns:xsi="http://www.w3.org/2001/XMLSchema-instance" xsi:type="dcterms:W3CDTF">2026-05-15T23:21:04Z</dcterms:modified>
  <cp:lastModifiedBy>back up</cp:lastModifiedBy>
  <cp:revision>0</cp:revision>
  <cp:lastPrinted>2026-05-14T13:55:53Z</cp:lastPrinted>
</cp:coreProperties>
</file>